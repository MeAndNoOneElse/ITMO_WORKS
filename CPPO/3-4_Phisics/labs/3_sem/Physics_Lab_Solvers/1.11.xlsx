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w6527-my.sharepoint.com/personal/colnsesolotoe2022_w6527_onmicrosoft_com/Documents/github_file/ITMO/CPPO/3-4 Physics/labs/Механика/Решатели лаб по физике/"/>
    </mc:Choice>
  </mc:AlternateContent>
  <xr:revisionPtr revIDLastSave="30" documentId="11_DF148CCC5FA4FD413953B565E20374320C2D644D" xr6:coauthVersionLast="47" xr6:coauthVersionMax="47" xr10:uidLastSave="{C89A6DE6-55F5-4DEE-BD21-FAA14FF464C3}"/>
  <bookViews>
    <workbookView xWindow="-108" yWindow="-108" windowWidth="23256" windowHeight="13896" xr2:uid="{00000000-000D-0000-FFFF-FFFF00000000}"/>
  </bookViews>
  <sheets>
    <sheet name="Лист1" sheetId="1" r:id="rId1"/>
  </sheets>
  <definedNames>
    <definedName name="solver_adj" localSheetId="0" hidden="1">Лист1!$B$3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Лист1!$F$1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V14" i="1"/>
  <c r="V21" i="1" s="1"/>
  <c r="S14" i="1"/>
  <c r="S19" i="1" s="1"/>
  <c r="P13" i="1"/>
  <c r="P15" i="1" s="1"/>
  <c r="S8" i="1"/>
  <c r="V17" i="1" l="1"/>
  <c r="V19" i="1"/>
  <c r="V16" i="1"/>
  <c r="V20" i="1"/>
  <c r="V18" i="1"/>
  <c r="S16" i="1"/>
  <c r="S18" i="1"/>
  <c r="S20" i="1"/>
  <c r="S21" i="1"/>
  <c r="S17" i="1"/>
  <c r="V13" i="1" l="1"/>
  <c r="V24" i="1" s="1"/>
  <c r="V27" i="1" s="1"/>
  <c r="V30" i="1" s="1"/>
  <c r="S13" i="1"/>
  <c r="S24" i="1" s="1"/>
  <c r="S27" i="1" s="1"/>
  <c r="S30" i="1" s="1"/>
</calcChain>
</file>

<file path=xl/sharedStrings.xml><?xml version="1.0" encoding="utf-8"?>
<sst xmlns="http://schemas.openxmlformats.org/spreadsheetml/2006/main" count="25" uniqueCount="25">
  <si>
    <t>x, см</t>
  </si>
  <si>
    <t>t1, с</t>
  </si>
  <si>
    <t>t2, с</t>
  </si>
  <si>
    <t>g</t>
  </si>
  <si>
    <t>t0</t>
  </si>
  <si>
    <t>L</t>
  </si>
  <si>
    <t>N</t>
  </si>
  <si>
    <t>погрешности</t>
  </si>
  <si>
    <t>дельта L</t>
  </si>
  <si>
    <t>дельта t0</t>
  </si>
  <si>
    <t>абсолютная погрешность t0</t>
  </si>
  <si>
    <t>относительная погрешность t0</t>
  </si>
  <si>
    <t>абс погр t2</t>
  </si>
  <si>
    <t>ско для t1</t>
  </si>
  <si>
    <t>относит погр t1</t>
  </si>
  <si>
    <t>асб погр t1</t>
  </si>
  <si>
    <t>случайная погр t1</t>
  </si>
  <si>
    <t>относит погр t2</t>
  </si>
  <si>
    <t>асб погр t2</t>
  </si>
  <si>
    <t>случайная погр t2</t>
  </si>
  <si>
    <t>ско для t2</t>
  </si>
  <si>
    <t>Берем расчеты и вставляем в таблицу справа, график построится сам</t>
  </si>
  <si>
    <t xml:space="preserve">Ищем точку соприкосновения, вставляем в эту таблицу, находим g </t>
  </si>
  <si>
    <t>низ</t>
  </si>
  <si>
    <t>верх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</si>
</sst>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0" xfId="0" applyFont="1"/>
    <xf numFmtId="2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Рисунок 2.</a:t>
            </a:r>
            <a:r>
              <a:rPr lang="ru-RU" baseline="0"/>
              <a:t> График </a:t>
            </a:r>
            <a:r>
              <a:rPr lang="ru-RU" b="0" baseline="0"/>
              <a:t>зависимости </a:t>
            </a:r>
            <a:r>
              <a:rPr lang="en-US" sz="1400" b="0" i="0" u="none" strike="noStrike" baseline="0">
                <a:effectLst/>
              </a:rPr>
              <a:t>t</a:t>
            </a:r>
            <a:r>
              <a:rPr lang="ru-RU" sz="1400" b="0" i="0" u="none" strike="noStrike" baseline="-25000">
                <a:effectLst/>
              </a:rPr>
              <a:t>1</a:t>
            </a:r>
            <a:r>
              <a:rPr lang="ru-RU" sz="1400" b="0" i="0" u="none" strike="noStrike" baseline="0">
                <a:effectLst/>
              </a:rPr>
              <a:t>(</a:t>
            </a:r>
            <a:r>
              <a:rPr lang="en-US" sz="1400" b="0" i="0" u="none" strike="noStrike" baseline="0">
                <a:effectLst/>
              </a:rPr>
              <a:t>x</a:t>
            </a:r>
            <a:r>
              <a:rPr lang="ru-RU" sz="1400" b="0" i="0" u="none" strike="noStrike" baseline="0">
                <a:effectLst/>
              </a:rPr>
              <a:t>) и </a:t>
            </a:r>
            <a:r>
              <a:rPr lang="en-US" sz="1400" b="0" i="0" u="none" strike="noStrike" baseline="0">
                <a:effectLst/>
              </a:rPr>
              <a:t>t</a:t>
            </a:r>
            <a:r>
              <a:rPr lang="ru-RU" sz="1400" b="0" i="0" u="none" strike="noStrike" baseline="-25000">
                <a:effectLst/>
              </a:rPr>
              <a:t>2</a:t>
            </a:r>
            <a:r>
              <a:rPr lang="ru-RU" sz="1400" b="0" i="0" u="none" strike="noStrike" baseline="0">
                <a:effectLst/>
              </a:rPr>
              <a:t>(</a:t>
            </a:r>
            <a:r>
              <a:rPr lang="en-US" sz="1400" b="0" i="0" u="none" strike="noStrike" baseline="0">
                <a:effectLst/>
              </a:rPr>
              <a:t>x</a:t>
            </a:r>
            <a:r>
              <a:rPr lang="ru-RU" sz="1400" b="0" i="0" u="none" strike="noStrike" baseline="0">
                <a:effectLst/>
              </a:rPr>
              <a:t>) для прямого и обратного положений маятника</a:t>
            </a:r>
            <a:endParaRPr lang="ru-RU" b="0"/>
          </a:p>
        </c:rich>
      </c:tx>
      <c:layout>
        <c:manualLayout>
          <c:xMode val="edge"/>
          <c:yMode val="edge"/>
          <c:x val="0.16240619523439814"/>
          <c:y val="0.88854249933978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8454330139953284E-2"/>
          <c:y val="4.538618671230836E-2"/>
          <c:w val="0.91898123238960883"/>
          <c:h val="0.7701261372755405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errBars>
            <c:errDir val="y"/>
            <c:errBarType val="both"/>
            <c:errValType val="percentage"/>
            <c:noEndCap val="0"/>
            <c:val val="12.958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Лист1!$B$1:$G$1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Лист1!$B$2:$G$2</c:f>
              <c:numCache>
                <c:formatCode>General</c:formatCode>
                <c:ptCount val="6"/>
                <c:pt idx="0">
                  <c:v>11.811999999999999</c:v>
                </c:pt>
                <c:pt idx="1">
                  <c:v>11.893000000000001</c:v>
                </c:pt>
                <c:pt idx="2">
                  <c:v>12.016999999999999</c:v>
                </c:pt>
                <c:pt idx="3">
                  <c:v>12.125</c:v>
                </c:pt>
                <c:pt idx="4">
                  <c:v>12.226000000000001</c:v>
                </c:pt>
                <c:pt idx="5">
                  <c:v>12.329000000000001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7-4A46-AC2A-76E23AFB2D7D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errBars>
            <c:errDir val="y"/>
            <c:errBarType val="both"/>
            <c:errValType val="percentage"/>
            <c:noEndCap val="0"/>
            <c:val val="18.39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Лист1!$B$1:$G$1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Лист1!$B$3:$G$3</c:f>
              <c:numCache>
                <c:formatCode>General</c:formatCode>
                <c:ptCount val="6"/>
                <c:pt idx="0">
                  <c:v>10.275</c:v>
                </c:pt>
                <c:pt idx="1">
                  <c:v>10.804</c:v>
                </c:pt>
                <c:pt idx="2">
                  <c:v>11.406000000000001</c:v>
                </c:pt>
                <c:pt idx="3">
                  <c:v>12.148</c:v>
                </c:pt>
                <c:pt idx="4">
                  <c:v>12.962999999999999</c:v>
                </c:pt>
                <c:pt idx="5">
                  <c:v>14.009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A7-4A46-AC2A-76E23AFB2D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85593184"/>
        <c:axId val="285594360"/>
      </c:scatterChart>
      <c:valAx>
        <c:axId val="28559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x,</a:t>
                </a:r>
                <a:r>
                  <a:rPr lang="en-US" baseline="0"/>
                  <a:t> </a:t>
                </a:r>
                <a:r>
                  <a:rPr lang="ru-RU" baseline="0"/>
                  <a:t>см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89790551346438485"/>
              <c:y val="0.92044007563216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594360"/>
        <c:crosses val="autoZero"/>
        <c:crossBetween val="midCat"/>
      </c:valAx>
      <c:valAx>
        <c:axId val="28559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</a:t>
                </a:r>
                <a:r>
                  <a:rPr lang="en-US" baseline="0"/>
                  <a:t> </a:t>
                </a:r>
                <a:r>
                  <a:rPr lang="ru-RU" baseline="0"/>
                  <a:t>с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3860219576436055E-2"/>
              <c:y val="2.0800401215640986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59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7</xdr:row>
      <xdr:rowOff>60960</xdr:rowOff>
    </xdr:from>
    <xdr:to>
      <xdr:col>13</xdr:col>
      <xdr:colOff>0</xdr:colOff>
      <xdr:row>33</xdr:row>
      <xdr:rowOff>58248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99C63E-44E1-442C-BE66-4E8026D08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0"/>
  <sheetViews>
    <sheetView tabSelected="1" zoomScaleNormal="100" workbookViewId="0">
      <selection activeCell="I6" sqref="I6"/>
    </sheetView>
  </sheetViews>
  <sheetFormatPr defaultRowHeight="14.4" x14ac:dyDescent="0.3"/>
  <cols>
    <col min="19" max="19" width="15.6640625" customWidth="1"/>
    <col min="22" max="22" width="17.33203125" customWidth="1"/>
  </cols>
  <sheetData>
    <row r="1" spans="1:44" x14ac:dyDescent="0.3">
      <c r="A1" s="1" t="s">
        <v>0</v>
      </c>
      <c r="B1" s="1">
        <v>6</v>
      </c>
      <c r="C1" s="1">
        <v>5</v>
      </c>
      <c r="D1" s="1">
        <v>4</v>
      </c>
      <c r="E1" s="1">
        <v>3</v>
      </c>
      <c r="F1" s="1">
        <v>2</v>
      </c>
      <c r="G1" s="1">
        <v>1</v>
      </c>
      <c r="P1" s="3" t="s">
        <v>4</v>
      </c>
      <c r="Q1" s="3" t="s">
        <v>6</v>
      </c>
      <c r="R1" s="3" t="s">
        <v>5</v>
      </c>
      <c r="AM1">
        <v>0</v>
      </c>
      <c r="AN1">
        <v>1</v>
      </c>
      <c r="AO1">
        <v>2</v>
      </c>
      <c r="AP1">
        <v>3</v>
      </c>
      <c r="AQ1">
        <v>4</v>
      </c>
      <c r="AR1">
        <v>5</v>
      </c>
    </row>
    <row r="2" spans="1:44" x14ac:dyDescent="0.3">
      <c r="A2" s="1" t="s">
        <v>1</v>
      </c>
      <c r="B2" s="1">
        <v>11.811999999999999</v>
      </c>
      <c r="C2" s="1">
        <v>11.893000000000001</v>
      </c>
      <c r="D2" s="1">
        <v>12.016999999999999</v>
      </c>
      <c r="E2" s="1">
        <v>12.125</v>
      </c>
      <c r="F2" s="1">
        <v>12.226000000000001</v>
      </c>
      <c r="G2" s="1">
        <v>12.329000000000001</v>
      </c>
      <c r="H2" s="2" t="s">
        <v>23</v>
      </c>
      <c r="I2" t="s">
        <v>21</v>
      </c>
      <c r="P2" s="4">
        <v>12.456</v>
      </c>
      <c r="Q2" s="4">
        <v>10</v>
      </c>
      <c r="R2" s="4">
        <v>0.38</v>
      </c>
      <c r="S2" t="s">
        <v>22</v>
      </c>
      <c r="AM2" s="1">
        <v>13.73</v>
      </c>
      <c r="AN2" s="1">
        <v>12.81</v>
      </c>
      <c r="AO2" s="1">
        <v>11.96</v>
      </c>
      <c r="AP2" s="1">
        <v>11.26</v>
      </c>
      <c r="AQ2" s="1">
        <v>10.76</v>
      </c>
      <c r="AR2" s="1">
        <v>10.18</v>
      </c>
    </row>
    <row r="3" spans="1:44" x14ac:dyDescent="0.3">
      <c r="A3" s="1" t="s">
        <v>2</v>
      </c>
      <c r="B3" s="1">
        <v>10.275</v>
      </c>
      <c r="C3" s="1">
        <v>10.804</v>
      </c>
      <c r="D3" s="1">
        <v>11.406000000000001</v>
      </c>
      <c r="E3" s="1">
        <v>12.148</v>
      </c>
      <c r="F3" s="1">
        <v>12.962999999999999</v>
      </c>
      <c r="G3" s="1">
        <v>14.009</v>
      </c>
      <c r="H3" s="2" t="s">
        <v>24</v>
      </c>
      <c r="P3" s="4"/>
      <c r="Q3" s="4"/>
      <c r="R3" s="4"/>
      <c r="AM3" s="1">
        <v>13.3</v>
      </c>
      <c r="AN3" s="1">
        <v>12.2</v>
      </c>
      <c r="AO3" s="1">
        <v>12.1</v>
      </c>
      <c r="AP3" s="1">
        <v>11.98</v>
      </c>
      <c r="AQ3" s="1">
        <v>11.88</v>
      </c>
      <c r="AR3" s="1">
        <v>11.75</v>
      </c>
    </row>
    <row r="4" spans="1:44" x14ac:dyDescent="0.3">
      <c r="B4" s="1"/>
      <c r="C4" s="1"/>
      <c r="D4" s="1"/>
      <c r="E4" s="1"/>
      <c r="F4" s="1"/>
      <c r="G4" s="1"/>
      <c r="P4" s="4"/>
      <c r="Q4" s="6" t="s">
        <v>3</v>
      </c>
      <c r="R4" s="4"/>
    </row>
    <row r="5" spans="1:44" x14ac:dyDescent="0.3">
      <c r="B5" s="1"/>
      <c r="C5" s="1"/>
      <c r="D5" s="1"/>
      <c r="E5" s="1"/>
      <c r="F5" s="1"/>
      <c r="G5" s="1"/>
      <c r="P5" s="4"/>
      <c r="Q5" s="4">
        <f>4*3.1415926536^2*R2*(Q2/P2)^2</f>
        <v>9.6691018343163329</v>
      </c>
      <c r="R5" s="4"/>
    </row>
    <row r="7" spans="1:44" x14ac:dyDescent="0.3">
      <c r="S7" s="5" t="s">
        <v>7</v>
      </c>
    </row>
    <row r="8" spans="1:44" x14ac:dyDescent="0.3">
      <c r="S8">
        <f>SQRT(P10^2+(2*Q11)^2)</f>
        <v>2E-3</v>
      </c>
    </row>
    <row r="9" spans="1:44" x14ac:dyDescent="0.3">
      <c r="P9" t="s">
        <v>8</v>
      </c>
      <c r="Q9" t="s">
        <v>9</v>
      </c>
    </row>
    <row r="10" spans="1:44" x14ac:dyDescent="0.3">
      <c r="P10">
        <v>2E-3</v>
      </c>
    </row>
    <row r="12" spans="1:44" x14ac:dyDescent="0.3">
      <c r="P12" t="s">
        <v>10</v>
      </c>
      <c r="S12" s="5" t="s">
        <v>13</v>
      </c>
      <c r="T12" t="s">
        <v>12</v>
      </c>
      <c r="V12" s="5" t="s">
        <v>20</v>
      </c>
    </row>
    <row r="13" spans="1:44" x14ac:dyDescent="0.3">
      <c r="P13">
        <f>SQRT((2.2*12.46)^2+((2/3)*0.01)^2)</f>
        <v>27.412000810674961</v>
      </c>
      <c r="S13">
        <f>SQRT(SUM(S16:S21)/(18*17))</f>
        <v>0.73318048540792902</v>
      </c>
      <c r="V13">
        <f>SQRT(SUM(V16:V21)/(18*17))</f>
        <v>1.0299631160359957</v>
      </c>
    </row>
    <row r="14" spans="1:44" x14ac:dyDescent="0.3">
      <c r="P14" t="s">
        <v>11</v>
      </c>
      <c r="S14">
        <f>SUM(B2:G2)/18</f>
        <v>4.0223333333333322</v>
      </c>
      <c r="V14">
        <f>SUM(B3:G3)/18</f>
        <v>3.9780555555555548</v>
      </c>
    </row>
    <row r="15" spans="1:44" x14ac:dyDescent="0.3">
      <c r="P15">
        <f>P2/P13</f>
        <v>0.45439951961293179</v>
      </c>
    </row>
    <row r="16" spans="1:44" x14ac:dyDescent="0.3">
      <c r="S16">
        <f>(B2-S14)^2</f>
        <v>60.678906777777783</v>
      </c>
      <c r="V16">
        <f>(B3-V14)^2</f>
        <v>39.651509336419764</v>
      </c>
    </row>
    <row r="17" spans="19:22" x14ac:dyDescent="0.3">
      <c r="S17">
        <f>(B3-S14)^2</f>
        <v>39.095840444444462</v>
      </c>
      <c r="V17">
        <f>(C3-V14)^2</f>
        <v>46.593517558641992</v>
      </c>
    </row>
    <row r="18" spans="19:22" x14ac:dyDescent="0.3">
      <c r="S18">
        <f>(B4-S14)^2</f>
        <v>16.179165444444436</v>
      </c>
      <c r="V18">
        <f>(D3-V14)^2</f>
        <v>55.174358669753104</v>
      </c>
    </row>
    <row r="19" spans="19:22" x14ac:dyDescent="0.3">
      <c r="S19">
        <f>(B5-S14)^2</f>
        <v>16.179165444444436</v>
      </c>
      <c r="V19">
        <f>(E3-V14)^2</f>
        <v>66.74799222530865</v>
      </c>
    </row>
    <row r="20" spans="19:22" x14ac:dyDescent="0.3">
      <c r="S20">
        <f>(B6-S14)^2</f>
        <v>16.179165444444436</v>
      </c>
      <c r="V20">
        <f>(G3-V14)^2</f>
        <v>100.61984644753089</v>
      </c>
    </row>
    <row r="21" spans="19:22" x14ac:dyDescent="0.3">
      <c r="S21">
        <f>(B7-S14)^2</f>
        <v>16.179165444444436</v>
      </c>
      <c r="V21">
        <f>(E7-V14)^2</f>
        <v>15.824926003086414</v>
      </c>
    </row>
    <row r="23" spans="19:22" x14ac:dyDescent="0.3">
      <c r="S23" t="s">
        <v>16</v>
      </c>
      <c r="V23" t="s">
        <v>19</v>
      </c>
    </row>
    <row r="24" spans="19:22" x14ac:dyDescent="0.3">
      <c r="S24">
        <f>2.10981557783318*S13</f>
        <v>1.5468756094769414</v>
      </c>
      <c r="V24">
        <f>2.10981557783318*V13</f>
        <v>2.1730322268063471</v>
      </c>
    </row>
    <row r="26" spans="19:22" x14ac:dyDescent="0.3">
      <c r="S26" t="s">
        <v>15</v>
      </c>
      <c r="V26" t="s">
        <v>18</v>
      </c>
    </row>
    <row r="27" spans="19:22" x14ac:dyDescent="0.3">
      <c r="S27">
        <f>SQRT(S24^2+((2/3)*(0.01))^2)</f>
        <v>1.546889975285606</v>
      </c>
      <c r="V27">
        <f>SQRT(V24^2+((2/3)*(0.01))^2)</f>
        <v>2.1730424531479815</v>
      </c>
    </row>
    <row r="29" spans="19:22" x14ac:dyDescent="0.3">
      <c r="S29" s="5" t="s">
        <v>14</v>
      </c>
      <c r="V29" s="5" t="s">
        <v>17</v>
      </c>
    </row>
    <row r="30" spans="19:22" x14ac:dyDescent="0.3">
      <c r="S30">
        <f>S27/(SUM(B2:G2)/6)</f>
        <v>0.1281917606103925</v>
      </c>
      <c r="V30">
        <f>V27/(SUM(B3:G3)/6)</f>
        <v>0.18208581410359459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FNU LNU</cp:lastModifiedBy>
  <dcterms:created xsi:type="dcterms:W3CDTF">2015-06-05T18:19:34Z</dcterms:created>
  <dcterms:modified xsi:type="dcterms:W3CDTF">2026-03-13T13:45:47Z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2026-03-13T13:33:13Z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82b70a2d-30f9-4534-8fd6-9bb237da0a46</vt:lpwstr>
  </property>
  <property fmtid="{D5CDD505-2E9C-101B-9397-08002B2CF9AE}" pid="7" name="MSIP_Label_defa4170-0d19-0005-0004-bc88714345d2_ActionId">
    <vt:lpwstr>c001d422-8998-4a08-8f90-e40cb0903106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