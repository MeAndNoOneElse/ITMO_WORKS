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w6527-my.sharepoint.com/personal/colnsesolotoe2022_w6527_onmicrosoft_com/Documents/github_file/ITMO/CPPO/3_sem/Physics/labs/lab_2/"/>
    </mc:Choice>
  </mc:AlternateContent>
  <xr:revisionPtr revIDLastSave="37" documentId="8_{69629FE1-9D4F-4BDF-8EAD-A6A1ECFFF95A}" xr6:coauthVersionLast="47" xr6:coauthVersionMax="47" xr10:uidLastSave="{E6E4EC59-DA79-46F5-A30A-0486EB0D43DE}"/>
  <bookViews>
    <workbookView xWindow="11424" yWindow="0" windowWidth="11712" windowHeight="13776" firstSheet="17" activeTab="17" xr2:uid="{00000000-000D-0000-FFFF-FFFF00000000}"/>
  </bookViews>
  <sheets>
    <sheet name="Погрешности косвенные (Шаблон)" sheetId="9" state="hidden" r:id="rId1"/>
    <sheet name="МНК (Шаблон)" sheetId="4" state="hidden" r:id="rId2"/>
    <sheet name="предисловие" sheetId="28" r:id="rId3"/>
    <sheet name="Таблица 1" sheetId="1" r:id="rId4"/>
    <sheet name="Таблица 2" sheetId="2" r:id="rId5"/>
    <sheet name="Таблица 3" sheetId="19" r:id="rId6"/>
    <sheet name="График 1" sheetId="23" r:id="rId7"/>
    <sheet name="График 2" sheetId="24" r:id="rId8"/>
    <sheet name="Печать 1" sheetId="25" r:id="rId9"/>
    <sheet name="Печать 2" sheetId="26" r:id="rId10"/>
    <sheet name="Печать 3" sheetId="27" r:id="rId11"/>
    <sheet name="Параметры установки" sheetId="22" r:id="rId12"/>
    <sheet name="Погрешности прямые (t)" sheetId="13" r:id="rId13"/>
    <sheet name="Погрешности прямые (a)" sheetId="5" r:id="rId14"/>
    <sheet name="Погрешности косвенные (a)" sheetId="12" r:id="rId15"/>
    <sheet name="Погрешности прямые (e)" sheetId="6" r:id="rId16"/>
    <sheet name="Погрешности косвенные (e)" sheetId="10" r:id="rId17"/>
    <sheet name="Погрешности прямые (M)" sheetId="7" r:id="rId18"/>
    <sheet name="Погрешности косвенные (M)" sheetId="11" r:id="rId19"/>
    <sheet name="МНК рис.1" sheetId="8" r:id="rId20"/>
    <sheet name="МНК рис.2" sheetId="14" r:id="rId21"/>
    <sheet name="МНК рис.3" sheetId="15" r:id="rId22"/>
    <sheet name="МНК рис.4" sheetId="16" r:id="rId23"/>
    <sheet name="МНК рис.5" sheetId="17" r:id="rId24"/>
    <sheet name="МНК рис.6" sheetId="18" r:id="rId25"/>
    <sheet name="МНК I" sheetId="21" r:id="rId26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7" l="1"/>
  <c r="A139" i="2"/>
  <c r="A138" i="2"/>
  <c r="A137" i="2"/>
  <c r="A136" i="2"/>
  <c r="H4" i="2"/>
  <c r="I4" i="2"/>
  <c r="H5" i="2"/>
  <c r="I5" i="2"/>
  <c r="H6" i="2"/>
  <c r="I6" i="2"/>
  <c r="H7" i="2"/>
  <c r="I7" i="2"/>
  <c r="H8" i="2"/>
  <c r="I8" i="2"/>
  <c r="I3" i="2"/>
  <c r="H3" i="2"/>
  <c r="G18" i="1"/>
  <c r="F18" i="1"/>
  <c r="E18" i="1"/>
  <c r="D18" i="1"/>
  <c r="C18" i="1"/>
  <c r="G14" i="1"/>
  <c r="F14" i="1"/>
  <c r="E14" i="1"/>
  <c r="D14" i="1"/>
  <c r="C14" i="1"/>
  <c r="G10" i="1"/>
  <c r="F10" i="1"/>
  <c r="E10" i="1"/>
  <c r="D10" i="1"/>
  <c r="C10" i="1"/>
  <c r="G6" i="1"/>
  <c r="F6" i="1"/>
  <c r="E6" i="1"/>
  <c r="D6" i="1"/>
  <c r="C6" i="1"/>
  <c r="A3" i="1" l="1"/>
  <c r="G19" i="25" l="1"/>
  <c r="F19" i="25"/>
  <c r="E19" i="25"/>
  <c r="D19" i="25"/>
  <c r="C19" i="25"/>
  <c r="B19" i="25"/>
  <c r="A16" i="25"/>
  <c r="G15" i="25"/>
  <c r="F15" i="25"/>
  <c r="E15" i="25"/>
  <c r="D15" i="25"/>
  <c r="C15" i="25"/>
  <c r="B15" i="25"/>
  <c r="A12" i="25"/>
  <c r="G11" i="25"/>
  <c r="F11" i="25"/>
  <c r="E11" i="25"/>
  <c r="D11" i="25"/>
  <c r="C11" i="25"/>
  <c r="B11" i="25"/>
  <c r="A8" i="25"/>
  <c r="G7" i="25"/>
  <c r="F7" i="25"/>
  <c r="E7" i="25"/>
  <c r="D7" i="25"/>
  <c r="C7" i="25"/>
  <c r="B7" i="25"/>
  <c r="A4" i="25"/>
  <c r="A15" i="1"/>
  <c r="A11" i="1"/>
  <c r="A7" i="1"/>
  <c r="C2" i="19"/>
  <c r="C3" i="19" s="1"/>
  <c r="A3" i="21" s="1"/>
  <c r="D2" i="19"/>
  <c r="D3" i="19" s="1"/>
  <c r="A4" i="21" s="1"/>
  <c r="E2" i="19"/>
  <c r="E3" i="19" s="1"/>
  <c r="A5" i="21" s="1"/>
  <c r="F2" i="19"/>
  <c r="F3" i="19" s="1"/>
  <c r="A6" i="21" s="1"/>
  <c r="G2" i="19"/>
  <c r="G3" i="19" s="1"/>
  <c r="A7" i="21" s="1"/>
  <c r="B2" i="19"/>
  <c r="B3" i="19" s="1"/>
  <c r="A2" i="21" s="1"/>
  <c r="A4" i="13"/>
  <c r="A3" i="13"/>
  <c r="A2" i="13"/>
  <c r="B7" i="9"/>
  <c r="B8" i="9" s="1"/>
  <c r="B9" i="9" s="1"/>
  <c r="L2" i="21" l="1"/>
  <c r="E2" i="21" s="1"/>
  <c r="H2" i="13"/>
  <c r="B2" i="12" l="1"/>
  <c r="B4" i="10"/>
  <c r="B4" i="12"/>
  <c r="B2" i="10"/>
  <c r="C2" i="21"/>
  <c r="E4" i="21"/>
  <c r="C3" i="21"/>
  <c r="E7" i="21"/>
  <c r="E6" i="21"/>
  <c r="E5" i="21"/>
  <c r="E3" i="21"/>
  <c r="C7" i="21"/>
  <c r="C6" i="21"/>
  <c r="C5" i="21"/>
  <c r="C4" i="21"/>
  <c r="B4" i="13"/>
  <c r="B3" i="11"/>
  <c r="B3" i="10"/>
  <c r="B3" i="13"/>
  <c r="B2" i="13"/>
  <c r="B3" i="12"/>
  <c r="I2" i="13" l="1"/>
  <c r="K2" i="13" s="1"/>
  <c r="M2" i="13" s="1"/>
  <c r="B5" i="10" s="1"/>
  <c r="P2" i="21"/>
  <c r="N2" i="13" l="1"/>
  <c r="B6" i="12" s="1"/>
  <c r="B5" i="11"/>
  <c r="B5" i="12"/>
  <c r="B7" i="12" s="1"/>
  <c r="B8" i="12" s="1"/>
  <c r="M2" i="4"/>
  <c r="D3" i="4" s="1"/>
  <c r="L2" i="4"/>
  <c r="C2" i="4" s="1"/>
  <c r="B6" i="10" l="1"/>
  <c r="B6" i="11"/>
  <c r="C4" i="4"/>
  <c r="E8" i="4"/>
  <c r="E2" i="4"/>
  <c r="E7" i="4"/>
  <c r="C8" i="4"/>
  <c r="E6" i="4"/>
  <c r="C7" i="4"/>
  <c r="E5" i="4"/>
  <c r="C5" i="4"/>
  <c r="C6" i="4"/>
  <c r="E4" i="4"/>
  <c r="F6" i="4"/>
  <c r="F5" i="4"/>
  <c r="F8" i="4"/>
  <c r="F7" i="4"/>
  <c r="D8" i="4"/>
  <c r="F4" i="4"/>
  <c r="D5" i="4"/>
  <c r="D4" i="4"/>
  <c r="D7" i="4"/>
  <c r="D6" i="4"/>
  <c r="F2" i="4"/>
  <c r="F3" i="4"/>
  <c r="E3" i="4"/>
  <c r="C3" i="4"/>
  <c r="D2" i="4"/>
  <c r="A21" i="2"/>
  <c r="A15" i="2"/>
  <c r="A9" i="2"/>
  <c r="A3" i="2"/>
  <c r="B4" i="11" s="1"/>
  <c r="B26" i="2"/>
  <c r="C26" i="2" s="1"/>
  <c r="D26" i="2" s="1"/>
  <c r="A5" i="18" s="1"/>
  <c r="B25" i="2"/>
  <c r="C25" i="2" s="1"/>
  <c r="D25" i="2" s="1"/>
  <c r="A5" i="17" s="1"/>
  <c r="B24" i="2"/>
  <c r="C24" i="2" s="1"/>
  <c r="D24" i="2" s="1"/>
  <c r="A5" i="16" s="1"/>
  <c r="B23" i="2"/>
  <c r="C23" i="2" s="1"/>
  <c r="D23" i="2" s="1"/>
  <c r="A5" i="15" s="1"/>
  <c r="B22" i="2"/>
  <c r="C22" i="2" s="1"/>
  <c r="D22" i="2" s="1"/>
  <c r="A5" i="14" s="1"/>
  <c r="B21" i="2"/>
  <c r="C21" i="2" s="1"/>
  <c r="D21" i="2" s="1"/>
  <c r="A5" i="8" s="1"/>
  <c r="B20" i="2"/>
  <c r="C20" i="2" s="1"/>
  <c r="D20" i="2" s="1"/>
  <c r="A4" i="18" s="1"/>
  <c r="B19" i="2"/>
  <c r="C19" i="2" s="1"/>
  <c r="D19" i="2" s="1"/>
  <c r="A4" i="17" s="1"/>
  <c r="B18" i="2"/>
  <c r="C18" i="2" s="1"/>
  <c r="D18" i="2" s="1"/>
  <c r="A4" i="16" s="1"/>
  <c r="B17" i="2"/>
  <c r="C17" i="2" s="1"/>
  <c r="D17" i="2" s="1"/>
  <c r="A4" i="15" s="1"/>
  <c r="B16" i="2"/>
  <c r="C16" i="2" s="1"/>
  <c r="D16" i="2" s="1"/>
  <c r="A4" i="14" s="1"/>
  <c r="B15" i="2"/>
  <c r="C15" i="2" s="1"/>
  <c r="D15" i="2" s="1"/>
  <c r="A4" i="8" s="1"/>
  <c r="B10" i="2"/>
  <c r="C10" i="2" s="1"/>
  <c r="D10" i="2" s="1"/>
  <c r="A3" i="14" s="1"/>
  <c r="B11" i="2"/>
  <c r="C11" i="2" s="1"/>
  <c r="D11" i="2" s="1"/>
  <c r="A3" i="15" s="1"/>
  <c r="B12" i="2"/>
  <c r="C12" i="2" s="1"/>
  <c r="D12" i="2" s="1"/>
  <c r="A3" i="16" s="1"/>
  <c r="B13" i="2"/>
  <c r="C13" i="2" s="1"/>
  <c r="D13" i="2" s="1"/>
  <c r="A3" i="17" s="1"/>
  <c r="B14" i="2"/>
  <c r="C14" i="2" s="1"/>
  <c r="D14" i="2" s="1"/>
  <c r="A3" i="18" s="1"/>
  <c r="B9" i="2"/>
  <c r="C9" i="2" s="1"/>
  <c r="D9" i="2" s="1"/>
  <c r="A3" i="8" s="1"/>
  <c r="B4" i="2"/>
  <c r="C4" i="2" s="1"/>
  <c r="B5" i="2"/>
  <c r="C5" i="2" s="1"/>
  <c r="B6" i="2"/>
  <c r="C6" i="2" s="1"/>
  <c r="B7" i="2"/>
  <c r="C7" i="2" s="1"/>
  <c r="A6" i="5" s="1"/>
  <c r="B8" i="2"/>
  <c r="C8" i="2" s="1"/>
  <c r="B3" i="2"/>
  <c r="C3" i="2" s="1"/>
  <c r="B2" i="11" l="1"/>
  <c r="B7" i="11" s="1"/>
  <c r="B8" i="11" s="1"/>
  <c r="D5" i="2"/>
  <c r="A4" i="5"/>
  <c r="D6" i="2"/>
  <c r="A5" i="5"/>
  <c r="D3" i="2"/>
  <c r="A2" i="5"/>
  <c r="D8" i="2"/>
  <c r="A7" i="5"/>
  <c r="E26" i="2"/>
  <c r="B5" i="18" s="1"/>
  <c r="D4" i="2"/>
  <c r="A3" i="5"/>
  <c r="G5" i="4"/>
  <c r="P2" i="4"/>
  <c r="G4" i="4"/>
  <c r="G6" i="4"/>
  <c r="G7" i="4"/>
  <c r="G2" i="4"/>
  <c r="G8" i="4"/>
  <c r="G3" i="4"/>
  <c r="E6" i="2"/>
  <c r="D7" i="2"/>
  <c r="E7" i="2"/>
  <c r="E10" i="2"/>
  <c r="B3" i="14" s="1"/>
  <c r="E5" i="2"/>
  <c r="E18" i="2"/>
  <c r="B4" i="16" s="1"/>
  <c r="E22" i="2"/>
  <c r="B5" i="14" s="1"/>
  <c r="E23" i="2"/>
  <c r="B5" i="15" s="1"/>
  <c r="E4" i="2"/>
  <c r="E24" i="2"/>
  <c r="B5" i="16" s="1"/>
  <c r="E3" i="2"/>
  <c r="E25" i="2"/>
  <c r="B5" i="17" s="1"/>
  <c r="E8" i="2"/>
  <c r="E21" i="2"/>
  <c r="B5" i="8" s="1"/>
  <c r="E17" i="2"/>
  <c r="B4" i="15" s="1"/>
  <c r="E20" i="2"/>
  <c r="B4" i="18" s="1"/>
  <c r="E19" i="2"/>
  <c r="B4" i="17" s="1"/>
  <c r="E15" i="2"/>
  <c r="B4" i="8" s="1"/>
  <c r="E16" i="2"/>
  <c r="B4" i="14" s="1"/>
  <c r="E13" i="2"/>
  <c r="B3" i="17" s="1"/>
  <c r="E12" i="2"/>
  <c r="B3" i="16" s="1"/>
  <c r="E11" i="2"/>
  <c r="B3" i="15" s="1"/>
  <c r="E9" i="2"/>
  <c r="B3" i="8" s="1"/>
  <c r="E14" i="2"/>
  <c r="B3" i="18" s="1"/>
  <c r="B2" i="18" l="1"/>
  <c r="A7" i="7"/>
  <c r="A2" i="14"/>
  <c r="A3" i="6"/>
  <c r="A2" i="16"/>
  <c r="A5" i="6"/>
  <c r="B2" i="17"/>
  <c r="A6" i="7"/>
  <c r="B2" i="8"/>
  <c r="A2" i="7"/>
  <c r="A2" i="17"/>
  <c r="A6" i="6"/>
  <c r="N2" i="4"/>
  <c r="O2" i="4" s="1"/>
  <c r="H3" i="4" s="1"/>
  <c r="I3" i="4" s="1"/>
  <c r="A2" i="15"/>
  <c r="A4" i="6"/>
  <c r="B2" i="15"/>
  <c r="A4" i="7"/>
  <c r="B2" i="14"/>
  <c r="A3" i="7"/>
  <c r="H2" i="5"/>
  <c r="B4" i="5" s="1"/>
  <c r="B2" i="16"/>
  <c r="A5" i="7"/>
  <c r="A2" i="18"/>
  <c r="A7" i="6"/>
  <c r="A2" i="8"/>
  <c r="A2" i="6"/>
  <c r="H5" i="4" l="1"/>
  <c r="I5" i="4" s="1"/>
  <c r="B3" i="5"/>
  <c r="B2" i="5"/>
  <c r="L2" i="14"/>
  <c r="E2" i="14" s="1"/>
  <c r="M2" i="16"/>
  <c r="F2" i="16" s="1"/>
  <c r="L2" i="17"/>
  <c r="E2" i="17" s="1"/>
  <c r="H2" i="7"/>
  <c r="B9" i="11" s="1"/>
  <c r="L2" i="18"/>
  <c r="E2" i="18" s="1"/>
  <c r="H7" i="4"/>
  <c r="I7" i="4" s="1"/>
  <c r="M2" i="8"/>
  <c r="D2" i="8" s="1"/>
  <c r="M2" i="17"/>
  <c r="M2" i="14"/>
  <c r="D2" i="14" s="1"/>
  <c r="H6" i="4"/>
  <c r="I6" i="4" s="1"/>
  <c r="B5" i="5"/>
  <c r="L2" i="8"/>
  <c r="C2" i="8" s="1"/>
  <c r="H4" i="4"/>
  <c r="I4" i="4" s="1"/>
  <c r="R2" i="4" s="1"/>
  <c r="R4" i="4" s="1"/>
  <c r="R6" i="4" s="1"/>
  <c r="H2" i="4"/>
  <c r="I2" i="4" s="1"/>
  <c r="M2" i="15"/>
  <c r="F2" i="15" s="1"/>
  <c r="L2" i="16"/>
  <c r="E2" i="16" s="1"/>
  <c r="H8" i="4"/>
  <c r="I8" i="4" s="1"/>
  <c r="B9" i="12"/>
  <c r="B6" i="5"/>
  <c r="H2" i="6"/>
  <c r="B7" i="5"/>
  <c r="L2" i="15"/>
  <c r="M2" i="18"/>
  <c r="F2" i="18" s="1"/>
  <c r="Q2" i="4" l="1"/>
  <c r="Q4" i="4" s="1"/>
  <c r="Q6" i="4" s="1"/>
  <c r="B4" i="7"/>
  <c r="B7" i="7"/>
  <c r="B6" i="7"/>
  <c r="B3" i="7"/>
  <c r="E2" i="8"/>
  <c r="F2" i="8"/>
  <c r="C2" i="17"/>
  <c r="I2" i="5"/>
  <c r="K2" i="5" s="1"/>
  <c r="M2" i="5" s="1"/>
  <c r="N2" i="5" s="1"/>
  <c r="D2" i="15"/>
  <c r="C2" i="14"/>
  <c r="C2" i="16"/>
  <c r="B2" i="7"/>
  <c r="C4" i="15"/>
  <c r="C5" i="15"/>
  <c r="E3" i="15"/>
  <c r="C3" i="15"/>
  <c r="E4" i="15"/>
  <c r="E5" i="15"/>
  <c r="F5" i="17"/>
  <c r="D3" i="17"/>
  <c r="F3" i="17"/>
  <c r="D5" i="17"/>
  <c r="D4" i="17"/>
  <c r="F4" i="17"/>
  <c r="G2" i="18"/>
  <c r="D2" i="16"/>
  <c r="D4" i="16"/>
  <c r="F4" i="16"/>
  <c r="F5" i="16"/>
  <c r="D5" i="16"/>
  <c r="D3" i="16"/>
  <c r="F3" i="16"/>
  <c r="B2" i="6"/>
  <c r="C3" i="16"/>
  <c r="E3" i="16"/>
  <c r="E5" i="16"/>
  <c r="C5" i="16"/>
  <c r="C4" i="16"/>
  <c r="E4" i="16"/>
  <c r="B7" i="6"/>
  <c r="G2" i="16"/>
  <c r="F5" i="8"/>
  <c r="D4" i="8"/>
  <c r="F3" i="8"/>
  <c r="D5" i="8"/>
  <c r="F4" i="8"/>
  <c r="D3" i="8"/>
  <c r="D2" i="18"/>
  <c r="D3" i="18"/>
  <c r="D4" i="18"/>
  <c r="F4" i="18"/>
  <c r="F5" i="18"/>
  <c r="D5" i="18"/>
  <c r="F3" i="18"/>
  <c r="F2" i="14"/>
  <c r="G2" i="14" s="1"/>
  <c r="F4" i="14"/>
  <c r="D4" i="14"/>
  <c r="F5" i="14"/>
  <c r="D5" i="14"/>
  <c r="D3" i="14"/>
  <c r="F3" i="14"/>
  <c r="B3" i="6"/>
  <c r="F2" i="17"/>
  <c r="G2" i="17" s="1"/>
  <c r="E3" i="18"/>
  <c r="E5" i="18"/>
  <c r="C3" i="18"/>
  <c r="E4" i="18"/>
  <c r="C4" i="18"/>
  <c r="C5" i="18"/>
  <c r="C5" i="17"/>
  <c r="E5" i="17"/>
  <c r="C4" i="17"/>
  <c r="E4" i="17"/>
  <c r="C3" i="17"/>
  <c r="E3" i="17"/>
  <c r="C3" i="14"/>
  <c r="C4" i="14"/>
  <c r="E4" i="14"/>
  <c r="E3" i="14"/>
  <c r="C5" i="14"/>
  <c r="E5" i="14"/>
  <c r="B4" i="6"/>
  <c r="C2" i="15"/>
  <c r="D3" i="15"/>
  <c r="D4" i="15"/>
  <c r="F4" i="15"/>
  <c r="D5" i="15"/>
  <c r="F5" i="15"/>
  <c r="F3" i="15"/>
  <c r="E2" i="15"/>
  <c r="G2" i="15" s="1"/>
  <c r="B5" i="6"/>
  <c r="E5" i="8"/>
  <c r="C5" i="8"/>
  <c r="E4" i="8"/>
  <c r="C4" i="8"/>
  <c r="E3" i="8"/>
  <c r="C3" i="8"/>
  <c r="D2" i="17"/>
  <c r="C2" i="18"/>
  <c r="B6" i="6"/>
  <c r="B5" i="7"/>
  <c r="J3" i="4"/>
  <c r="J4" i="4"/>
  <c r="J5" i="4"/>
  <c r="J6" i="4"/>
  <c r="J7" i="4"/>
  <c r="J8" i="4"/>
  <c r="J2" i="4"/>
  <c r="G2" i="8" l="1"/>
  <c r="G5" i="14"/>
  <c r="G3" i="14"/>
  <c r="G5" i="17"/>
  <c r="G5" i="8"/>
  <c r="G4" i="8"/>
  <c r="G3" i="17"/>
  <c r="G4" i="17"/>
  <c r="G5" i="16"/>
  <c r="P2" i="8"/>
  <c r="P2" i="17"/>
  <c r="G5" i="18"/>
  <c r="G3" i="8"/>
  <c r="G4" i="14"/>
  <c r="N2" i="14" s="1"/>
  <c r="I2" i="7"/>
  <c r="M2" i="7" s="1"/>
  <c r="N2" i="7" s="1"/>
  <c r="P2" i="16"/>
  <c r="P2" i="14"/>
  <c r="G4" i="15"/>
  <c r="G3" i="15"/>
  <c r="G3" i="16"/>
  <c r="G4" i="16"/>
  <c r="P2" i="15"/>
  <c r="P2" i="18"/>
  <c r="G4" i="18"/>
  <c r="G3" i="18"/>
  <c r="I2" i="6"/>
  <c r="K2" i="6" s="1"/>
  <c r="M2" i="6" s="1"/>
  <c r="G5" i="15"/>
  <c r="N2" i="17" l="1"/>
  <c r="O2" i="17" s="1"/>
  <c r="H2" i="17" s="1"/>
  <c r="I2" i="17" s="1"/>
  <c r="N2" i="8"/>
  <c r="O2" i="8" s="1"/>
  <c r="O2" i="14"/>
  <c r="H5" i="14" s="1"/>
  <c r="I5" i="14" s="1"/>
  <c r="C4" i="19"/>
  <c r="B3" i="21" s="1"/>
  <c r="N2" i="15"/>
  <c r="N2" i="18"/>
  <c r="N2" i="16"/>
  <c r="B7" i="10"/>
  <c r="B8" i="10" s="1"/>
  <c r="B9" i="10" s="1"/>
  <c r="N2" i="6"/>
  <c r="F4" i="19" l="1"/>
  <c r="B6" i="21" s="1"/>
  <c r="H4" i="8"/>
  <c r="I4" i="8" s="1"/>
  <c r="H5" i="8"/>
  <c r="I5" i="8" s="1"/>
  <c r="B4" i="19"/>
  <c r="B2" i="21" s="1"/>
  <c r="H4" i="17"/>
  <c r="I4" i="17" s="1"/>
  <c r="H3" i="17"/>
  <c r="I3" i="17" s="1"/>
  <c r="H5" i="17"/>
  <c r="I5" i="17" s="1"/>
  <c r="H2" i="14"/>
  <c r="I2" i="14" s="1"/>
  <c r="H3" i="14"/>
  <c r="I3" i="14" s="1"/>
  <c r="H4" i="14"/>
  <c r="I4" i="14" s="1"/>
  <c r="H2" i="8"/>
  <c r="I2" i="8" s="1"/>
  <c r="H3" i="8"/>
  <c r="I3" i="8" s="1"/>
  <c r="O2" i="18"/>
  <c r="G4" i="19"/>
  <c r="B7" i="21" s="1"/>
  <c r="O2" i="16"/>
  <c r="E4" i="19"/>
  <c r="B5" i="21" s="1"/>
  <c r="O2" i="15"/>
  <c r="D4" i="19"/>
  <c r="B4" i="21" s="1"/>
  <c r="R2" i="17" l="1"/>
  <c r="R4" i="17" s="1"/>
  <c r="R6" i="17" s="1"/>
  <c r="Q2" i="17"/>
  <c r="Q4" i="17" s="1"/>
  <c r="Q6" i="17" s="1"/>
  <c r="R2" i="14"/>
  <c r="R4" i="14" s="1"/>
  <c r="R6" i="14" s="1"/>
  <c r="R2" i="8"/>
  <c r="R4" i="8" s="1"/>
  <c r="R6" i="8" s="1"/>
  <c r="Q2" i="8"/>
  <c r="Q4" i="8" s="1"/>
  <c r="Q6" i="8" s="1"/>
  <c r="Q2" i="14"/>
  <c r="Q4" i="14" s="1"/>
  <c r="Q6" i="14" s="1"/>
  <c r="M2" i="21"/>
  <c r="D2" i="21" s="1"/>
  <c r="H3" i="18"/>
  <c r="I3" i="18" s="1"/>
  <c r="H2" i="18"/>
  <c r="I2" i="18" s="1"/>
  <c r="H4" i="18"/>
  <c r="I4" i="18" s="1"/>
  <c r="H5" i="18"/>
  <c r="I5" i="18" s="1"/>
  <c r="H2" i="16"/>
  <c r="I2" i="16" s="1"/>
  <c r="H3" i="16"/>
  <c r="I3" i="16" s="1"/>
  <c r="H4" i="16"/>
  <c r="I4" i="16" s="1"/>
  <c r="H5" i="16"/>
  <c r="I5" i="16" s="1"/>
  <c r="H5" i="15"/>
  <c r="I5" i="15" s="1"/>
  <c r="H4" i="15"/>
  <c r="I4" i="15" s="1"/>
  <c r="H3" i="15"/>
  <c r="I3" i="15" s="1"/>
  <c r="H2" i="15"/>
  <c r="I2" i="15" s="1"/>
  <c r="J2" i="17" l="1"/>
  <c r="J4" i="17"/>
  <c r="J3" i="17"/>
  <c r="J5" i="17"/>
  <c r="J2" i="8"/>
  <c r="J4" i="8"/>
  <c r="J3" i="8"/>
  <c r="J2" i="14"/>
  <c r="J5" i="14"/>
  <c r="J3" i="14"/>
  <c r="J4" i="14"/>
  <c r="J5" i="8"/>
  <c r="F5" i="21"/>
  <c r="G5" i="21" s="1"/>
  <c r="F3" i="21"/>
  <c r="G3" i="21" s="1"/>
  <c r="F6" i="21"/>
  <c r="G6" i="21" s="1"/>
  <c r="F4" i="21"/>
  <c r="G4" i="21" s="1"/>
  <c r="D5" i="21"/>
  <c r="D3" i="21"/>
  <c r="D4" i="21"/>
  <c r="F7" i="21"/>
  <c r="G7" i="21" s="1"/>
  <c r="D7" i="21"/>
  <c r="D6" i="21"/>
  <c r="F2" i="21"/>
  <c r="G2" i="21" s="1"/>
  <c r="Q2" i="18"/>
  <c r="Q4" i="18" s="1"/>
  <c r="Q6" i="18" s="1"/>
  <c r="R2" i="18"/>
  <c r="R2" i="16"/>
  <c r="Q2" i="16"/>
  <c r="Q4" i="16" s="1"/>
  <c r="Q6" i="16" s="1"/>
  <c r="Q2" i="15"/>
  <c r="Q4" i="15" s="1"/>
  <c r="Q6" i="15" s="1"/>
  <c r="R2" i="15"/>
  <c r="N2" i="21" l="1"/>
  <c r="O2" i="21" s="1"/>
  <c r="H6" i="21" s="1"/>
  <c r="I6" i="21" s="1"/>
  <c r="R4" i="18"/>
  <c r="R6" i="18" s="1"/>
  <c r="J2" i="18"/>
  <c r="J4" i="18"/>
  <c r="J3" i="18"/>
  <c r="J5" i="18"/>
  <c r="R4" i="16"/>
  <c r="R6" i="16" s="1"/>
  <c r="J3" i="16"/>
  <c r="J5" i="16"/>
  <c r="J2" i="16"/>
  <c r="J4" i="16"/>
  <c r="R4" i="15"/>
  <c r="R6" i="15" s="1"/>
  <c r="J5" i="15"/>
  <c r="J4" i="15"/>
  <c r="J2" i="15"/>
  <c r="J3" i="15"/>
  <c r="H4" i="21" l="1"/>
  <c r="I4" i="21" s="1"/>
  <c r="H3" i="21"/>
  <c r="I3" i="21" s="1"/>
  <c r="H5" i="21"/>
  <c r="I5" i="21" s="1"/>
  <c r="H7" i="21"/>
  <c r="I7" i="21" s="1"/>
  <c r="H2" i="21"/>
  <c r="I2" i="21" s="1"/>
  <c r="R2" i="21" l="1"/>
  <c r="R4" i="21" s="1"/>
  <c r="R6" i="21" s="1"/>
  <c r="Q2" i="21"/>
  <c r="Q4" i="21" s="1"/>
  <c r="Q6" i="21" s="1"/>
  <c r="J6" i="21" l="1"/>
  <c r="J3" i="21"/>
  <c r="J2" i="21"/>
  <c r="J4" i="21"/>
  <c r="J7" i="21"/>
  <c r="J5" i="21"/>
</calcChain>
</file>

<file path=xl/sharedStrings.xml><?xml version="1.0" encoding="utf-8"?>
<sst xmlns="http://schemas.openxmlformats.org/spreadsheetml/2006/main" count="311" uniqueCount="84">
  <si>
    <t>Масса груза, г</t>
  </si>
  <si>
    <t>Положение утяжелителей</t>
  </si>
  <si>
    <t>1.риска</t>
  </si>
  <si>
    <t>2.риска</t>
  </si>
  <si>
    <t>3.риска</t>
  </si>
  <si>
    <t>4.риска</t>
  </si>
  <si>
    <t>5.риска</t>
  </si>
  <si>
    <t>6.риска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</si>
  <si>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, с</t>
    </r>
  </si>
  <si>
    <r>
      <rPr>
        <sz val="11"/>
        <color theme="1"/>
        <rFont val="Calibri"/>
        <family val="2"/>
        <charset val="204"/>
        <scheme val="minor"/>
      </rPr>
      <t>a, м/с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</si>
  <si>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ε, с</t>
    </r>
    <r>
      <rPr>
        <vertAlign val="superscript"/>
        <sz val="11"/>
        <color theme="1"/>
        <rFont val="Calibri"/>
        <family val="2"/>
        <charset val="204"/>
      </rPr>
      <t>-2</t>
    </r>
  </si>
  <si>
    <t>M, Н*м</t>
  </si>
  <si>
    <t>h</t>
  </si>
  <si>
    <t>d</t>
  </si>
  <si>
    <r>
      <t>Квадрат разности (x-</t>
    </r>
    <r>
      <rPr>
        <sz val="11"/>
        <color theme="1"/>
        <rFont val="Calibri"/>
        <family val="2"/>
        <charset val="204"/>
        <scheme val="minor"/>
      </rPr>
      <t>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</si>
  <si>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Значения x</t>
  </si>
  <si>
    <r>
      <t>Среднее 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</si>
  <si>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СКО      S</t>
    </r>
    <r>
      <rPr>
        <vertAlign val="subscript"/>
        <sz val="11"/>
        <color theme="1"/>
        <rFont val="Calibri"/>
        <family val="2"/>
        <charset val="204"/>
        <scheme val="minor"/>
      </rPr>
      <t>xср</t>
    </r>
  </si>
  <si>
    <r>
      <t>Коэфф. Стьюдента  t</t>
    </r>
    <r>
      <rPr>
        <vertAlign val="subscript"/>
        <sz val="11"/>
        <color theme="1"/>
        <rFont val="Calibri"/>
        <family val="2"/>
        <charset val="204"/>
      </rPr>
      <t>α,n</t>
    </r>
  </si>
  <si>
    <r>
      <t xml:space="preserve">Доверительный интервал 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xср</t>
    </r>
  </si>
  <si>
    <r>
      <t xml:space="preserve">Инструментальная погрешность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иx</t>
    </r>
  </si>
  <si>
    <r>
      <t xml:space="preserve">Абсолютная погрешность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</t>
    </r>
  </si>
  <si>
    <r>
      <t xml:space="preserve">Относительная погрешность           </t>
    </r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</rPr>
      <t>x</t>
    </r>
  </si>
  <si>
    <t>x</t>
  </si>
  <si>
    <t>y</t>
  </si>
  <si>
    <r>
      <t>Среднее 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</si>
  <si>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t>b</t>
  </si>
  <si>
    <t>a</t>
  </si>
  <si>
    <r>
      <t>Квадрат разности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</si>
  <si>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Квадрат разности 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</si>
  <si>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Разность    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</si>
  <si>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Разность    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</si>
  <si>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Произведение       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</si>
  <si>
    <t>D</t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</si>
  <si>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</si>
  <si>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</si>
  <si>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d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</si>
  <si>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y</t>
    </r>
  </si>
  <si>
    <t>Формулы частных производных по переменным:</t>
  </si>
  <si>
    <t>Абсолютная погрешность функции</t>
  </si>
  <si>
    <t>Среднее значение функции</t>
  </si>
  <si>
    <t>Среднее значение переменной</t>
  </si>
  <si>
    <t>Название переменной</t>
  </si>
  <si>
    <t>Абсолютные погрешности переменных</t>
  </si>
  <si>
    <t>Слагаемые</t>
  </si>
  <si>
    <t>ε</t>
  </si>
  <si>
    <t>Относительные погрешности переменных</t>
  </si>
  <si>
    <t>Относительные погрешности функции</t>
  </si>
  <si>
    <t>M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</si>
  <si>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</si>
  <si>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</si>
  <si>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Номера рисок</t>
  </si>
  <si>
    <t>R</t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</si>
  <si>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</si>
  <si>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I</t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</si>
  <si>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тр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</si>
  <si>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</si>
  <si>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t>4m</t>
    </r>
    <r>
      <rPr>
        <vertAlign val="subscript"/>
        <sz val="11"/>
        <color theme="1"/>
        <rFont val="Calibri"/>
        <family val="2"/>
        <charset val="204"/>
        <scheme val="minor"/>
      </rPr>
      <t>ут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</si>
  <si>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</si>
  <si>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</si>
  <si>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b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</si>
  <si>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a</t>
    </r>
  </si>
  <si>
    <t>Таблица 1. Протокол измерений времени падения груза при разной массе груза и разном положении утяжелителей на крестовине</t>
  </si>
  <si>
    <t>Таблица 2. Значения ускорения каретки, углового ускорения крестовины и момента силы натяжения нити для средних значений времени</t>
  </si>
  <si>
    <t>R, м</t>
  </si>
  <si>
    <t>Масса груза, кг</t>
  </si>
  <si>
    <t>Таблица 3. Значения момента инерции для утяжелителей в разных положениях</t>
  </si>
  <si>
    <r>
      <t>t</t>
    </r>
    <r>
      <rPr>
        <vertAlign val="subscript"/>
        <sz val="10"/>
        <color theme="1"/>
        <rFont val="Calibri"/>
        <family val="2"/>
        <scheme val="minor"/>
      </rPr>
      <t>ср</t>
    </r>
    <r>
      <rPr>
        <sz val="10"/>
        <color theme="1"/>
        <rFont val="Calibri"/>
        <family val="2"/>
        <scheme val="minor"/>
      </rPr>
      <t>, с</t>
    </r>
  </si>
  <si>
    <r>
      <rPr>
        <sz val="10"/>
        <color theme="1"/>
        <rFont val="Calibri"/>
        <family val="2"/>
        <scheme val="minor"/>
      </rPr>
      <t>a, м/с</t>
    </r>
    <r>
      <rPr>
        <vertAlign val="superscript"/>
        <sz val="10"/>
        <color theme="1"/>
        <rFont val="Calibri"/>
        <family val="2"/>
        <scheme val="minor"/>
      </rPr>
      <t>2</t>
    </r>
  </si>
  <si>
    <r>
      <t>ε, с</t>
    </r>
    <r>
      <rPr>
        <vertAlign val="superscript"/>
        <sz val="10"/>
        <color theme="1"/>
        <rFont val="Calibri"/>
        <family val="2"/>
      </rPr>
      <t>-2</t>
    </r>
  </si>
  <si>
    <r>
      <t>R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, м</t>
    </r>
  </si>
  <si>
    <r>
      <t>I, кг*м</t>
    </r>
    <r>
      <rPr>
        <vertAlign val="superscript"/>
        <sz val="10"/>
        <color theme="1"/>
        <rFont val="Calibri"/>
        <family val="2"/>
        <scheme val="minor"/>
      </rPr>
      <t>2</t>
    </r>
  </si>
  <si>
    <t>Радуемся сделанной лабе!</t>
  </si>
  <si>
    <t>Далее таблицы вырезаем ножницами и вставляем в отчет (можно и копировать, но ножницы как по мне лучше)</t>
  </si>
  <si>
    <t>На листы печать внимание оформлять не нужно, это сделано для проверки наличия всех графиков и таблиц после подсчета</t>
  </si>
  <si>
    <t>Берете замеры, вставляете в таблицу 1 среднее время и прочие вещи, которые надо считать, появятся сами</t>
  </si>
  <si>
    <t>Все погрешности и графики основаны на первой таблице и параметрах установки</t>
  </si>
  <si>
    <t>1 риска</t>
  </si>
  <si>
    <t>2 риска</t>
  </si>
  <si>
    <t>3 риска</t>
  </si>
  <si>
    <t>4 риска</t>
  </si>
  <si>
    <t>5 риска</t>
  </si>
  <si>
    <t>6 риска</t>
  </si>
  <si>
    <t>1+A36A36:A129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</si>
</sst>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"/>
    <numFmt numFmtId="165" formatCode="#,##0.00\ _₽"/>
    <numFmt numFmtId="166" formatCode="0.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/>
    <xf numFmtId="2" fontId="0" fillId="0" borderId="11" xfId="0" applyNumberFormat="1" applyBorder="1"/>
    <xf numFmtId="2" fontId="0" fillId="0" borderId="7" xfId="0" applyNumberFormat="1" applyBorder="1"/>
    <xf numFmtId="2" fontId="0" fillId="0" borderId="13" xfId="0" applyNumberFormat="1" applyBorder="1"/>
    <xf numFmtId="2" fontId="0" fillId="0" borderId="12" xfId="0" applyNumberFormat="1" applyBorder="1"/>
    <xf numFmtId="0" fontId="0" fillId="0" borderId="1" xfId="0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2" fontId="0" fillId="0" borderId="14" xfId="0" applyNumberFormat="1" applyBorder="1"/>
    <xf numFmtId="2" fontId="2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/>
    <xf numFmtId="2" fontId="0" fillId="0" borderId="0" xfId="0" applyNumberFormat="1" applyAlignment="1">
      <alignment vertical="center"/>
    </xf>
    <xf numFmtId="9" fontId="0" fillId="0" borderId="0" xfId="1" applyFont="1"/>
    <xf numFmtId="0" fontId="0" fillId="0" borderId="1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13" xfId="0" applyNumberFormat="1" applyBorder="1"/>
    <xf numFmtId="164" fontId="0" fillId="0" borderId="3" xfId="0" applyNumberFormat="1" applyBorder="1"/>
    <xf numFmtId="164" fontId="0" fillId="0" borderId="7" xfId="0" applyNumberFormat="1" applyBorder="1"/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/>
    <xf numFmtId="0" fontId="9" fillId="0" borderId="0" xfId="0" applyFont="1"/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14" fillId="0" borderId="22" xfId="2" applyNumberFormat="1" applyFont="1" applyBorder="1" applyAlignment="1">
      <alignment horizontal="right" vertical="center"/>
    </xf>
    <xf numFmtId="2" fontId="14" fillId="0" borderId="23" xfId="2" applyNumberFormat="1" applyFont="1" applyBorder="1" applyAlignment="1">
      <alignment horizontal="right" vertical="center"/>
    </xf>
    <xf numFmtId="165" fontId="14" fillId="0" borderId="23" xfId="2" applyNumberFormat="1" applyFont="1" applyBorder="1" applyAlignment="1">
      <alignment horizontal="right" vertical="center"/>
    </xf>
    <xf numFmtId="2" fontId="14" fillId="0" borderId="22" xfId="2" applyNumberFormat="1" applyFont="1" applyBorder="1" applyAlignment="1">
      <alignment vertical="center"/>
    </xf>
    <xf numFmtId="2" fontId="14" fillId="0" borderId="24" xfId="2" applyNumberFormat="1" applyFont="1" applyBorder="1" applyAlignment="1">
      <alignment horizontal="right" vertical="center"/>
    </xf>
    <xf numFmtId="165" fontId="14" fillId="0" borderId="24" xfId="2" applyNumberFormat="1" applyFont="1" applyBorder="1" applyAlignment="1">
      <alignment horizontal="right" vertical="center"/>
    </xf>
    <xf numFmtId="165" fontId="14" fillId="0" borderId="25" xfId="0" applyNumberFormat="1" applyFont="1" applyBorder="1" applyAlignment="1">
      <alignment horizontal="right" vertical="center"/>
    </xf>
    <xf numFmtId="165" fontId="14" fillId="0" borderId="23" xfId="0" applyNumberFormat="1" applyFont="1" applyBorder="1" applyAlignment="1">
      <alignment horizontal="right" vertical="center"/>
    </xf>
    <xf numFmtId="165" fontId="14" fillId="0" borderId="23" xfId="2" applyNumberFormat="1" applyFont="1" applyBorder="1" applyAlignment="1">
      <alignment vertical="center"/>
    </xf>
    <xf numFmtId="166" fontId="0" fillId="0" borderId="0" xfId="0" applyNumberFormat="1"/>
  </cellXfs>
  <cellStyles count="3">
    <cellStyle name="Обычный" xfId="0" builtinId="0"/>
    <cellStyle name="Процентный" xfId="1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en-US" baseline="0"/>
              <a:t>M</a:t>
            </a:r>
            <a:r>
              <a:rPr lang="ru-RU" baseline="0"/>
              <a:t> от </a:t>
            </a:r>
            <a:r>
              <a:rPr lang="el-GR" sz="1400" b="0" i="0" u="none" strike="noStrike" baseline="0">
                <a:effectLst/>
              </a:rPr>
              <a:t>ε</a:t>
            </a:r>
            <a:r>
              <a:rPr lang="ru-RU" sz="1400" b="0" i="0" u="none" strike="noStrike" baseline="0">
                <a:effectLst/>
              </a:rPr>
              <a:t> для разных положений утяжелителей</a:t>
            </a:r>
            <a:r>
              <a:rPr lang="ru-RU" baseline="0"/>
              <a:t> </a:t>
            </a:r>
            <a:endParaRPr lang="ru-RU"/>
          </a:p>
        </c:rich>
      </c:tx>
      <c:layout>
        <c:manualLayout>
          <c:xMode val="edge"/>
          <c:yMode val="edge"/>
          <c:x val="0.26807946254424625"/>
          <c:y val="0.9397678162926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6243685135688323E-2"/>
          <c:y val="4.696612143510194E-2"/>
          <c:w val="0.91043213176334614"/>
          <c:h val="0.8185194615088679"/>
        </c:manualLayout>
      </c:layout>
      <c:scatterChart>
        <c:scatterStyle val="smoothMarker"/>
        <c:varyColors val="0"/>
        <c:ser>
          <c:idx val="0"/>
          <c:order val="0"/>
          <c:tx>
            <c:v>рис.1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1.347274562277953E-4</c:v>
                  </c:pt>
                </c:numCache>
              </c:numRef>
            </c:plus>
            <c:min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1.347274562277953E-4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.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('Таблица 2'!$D$3,'Таблица 2'!$D$9,'Таблица 2'!$D$15,'Таблица 2'!$D$21)</c:f>
              <c:numCache>
                <c:formatCode>0.00</c:formatCode>
                <c:ptCount val="4"/>
                <c:pt idx="0">
                  <c:v>3.1063226189198914</c:v>
                </c:pt>
                <c:pt idx="1">
                  <c:v>5.5112789417049735</c:v>
                </c:pt>
                <c:pt idx="2">
                  <c:v>7.9140001929508612</c:v>
                </c:pt>
                <c:pt idx="3">
                  <c:v>10.336653313241941</c:v>
                </c:pt>
              </c:numCache>
            </c:numRef>
          </c:xVal>
          <c:yVal>
            <c:numRef>
              <c:f>('Таблица 2'!$E$3,'Таблица 2'!$E$9,'Таблица 2'!$E$15,'Таблица 2'!$E$21)</c:f>
              <c:numCache>
                <c:formatCode>0.00</c:formatCode>
                <c:ptCount val="4"/>
                <c:pt idx="0">
                  <c:v>5.9743053674335911E-2</c:v>
                </c:pt>
                <c:pt idx="1">
                  <c:v>0.10834996778520115</c:v>
                </c:pt>
                <c:pt idx="2">
                  <c:v>0.1563979401858358</c:v>
                </c:pt>
                <c:pt idx="3">
                  <c:v>0.20387688093829251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B3-479B-986A-7D1D329330D6}"/>
            </c:ext>
          </c:extLst>
        </c:ser>
        <c:ser>
          <c:idx val="1"/>
          <c:order val="1"/>
          <c:tx>
            <c:v>рис.2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2'!$D$4,'Таблица 2'!$D$10,'Таблица 2'!$D$16,'Таблица 2'!$D$22)</c:f>
              <c:numCache>
                <c:formatCode>0.00</c:formatCode>
                <c:ptCount val="4"/>
                <c:pt idx="0">
                  <c:v>2.1724095981056037</c:v>
                </c:pt>
                <c:pt idx="1">
                  <c:v>3.9277416486159398</c:v>
                </c:pt>
                <c:pt idx="2">
                  <c:v>6.293314297555991</c:v>
                </c:pt>
                <c:pt idx="3">
                  <c:v>8.2273958176621029</c:v>
                </c:pt>
              </c:numCache>
            </c:numRef>
          </c:xVal>
          <c:yVal>
            <c:numRef>
              <c:f>('Таблица 2'!$E$4,'Таблица 2'!$E$10,'Таблица 2'!$E$16,'Таблица 2'!$E$22)</c:f>
              <c:numCache>
                <c:formatCode>0.00</c:formatCode>
                <c:ptCount val="4"/>
                <c:pt idx="0">
                  <c:v>5.9874962351134778E-2</c:v>
                </c:pt>
                <c:pt idx="1">
                  <c:v>0.10875792341325861</c:v>
                </c:pt>
                <c:pt idx="2">
                  <c:v>0.15700408157277118</c:v>
                </c:pt>
                <c:pt idx="3">
                  <c:v>0.20491122495674743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B3-479B-986A-7D1D329330D6}"/>
            </c:ext>
          </c:extLst>
        </c:ser>
        <c:ser>
          <c:idx val="2"/>
          <c:order val="2"/>
          <c:tx>
            <c:v>рис.3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2'!$D$5,'Таблица 2'!$D$11,'Таблица 2'!$D$17,'Таблица 2'!$D$23)</c:f>
              <c:numCache>
                <c:formatCode>0.00</c:formatCode>
                <c:ptCount val="4"/>
                <c:pt idx="0">
                  <c:v>1.5582608695652174</c:v>
                </c:pt>
                <c:pt idx="1">
                  <c:v>2.9230470965755964</c:v>
                </c:pt>
                <c:pt idx="2">
                  <c:v>4.1208242682012965</c:v>
                </c:pt>
                <c:pt idx="3">
                  <c:v>5.423886408321791</c:v>
                </c:pt>
              </c:numCache>
            </c:numRef>
          </c:xVal>
          <c:yVal>
            <c:numRef>
              <c:f>('Таблица 2'!$E$5,'Таблица 2'!$E$11,'Таблица 2'!$E$17,'Таблица 2'!$E$23)</c:f>
              <c:numCache>
                <c:formatCode>0.00</c:formatCode>
                <c:ptCount val="4"/>
                <c:pt idx="0">
                  <c:v>5.9961706560000008E-2</c:v>
                </c:pt>
                <c:pt idx="1">
                  <c:v>0.10901675583783892</c:v>
                </c:pt>
                <c:pt idx="2">
                  <c:v>0.15781659936121992</c:v>
                </c:pt>
                <c:pt idx="3">
                  <c:v>0.20628601831142793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B3-479B-986A-7D1D329330D6}"/>
            </c:ext>
          </c:extLst>
        </c:ser>
        <c:ser>
          <c:idx val="3"/>
          <c:order val="3"/>
          <c:tx>
            <c:v>рис.4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2'!$D$6,'Таблица 2'!$D$12,'Таблица 2'!$D$18,'Таблица 2'!$D$24)</c:f>
              <c:numCache>
                <c:formatCode>0.00</c:formatCode>
                <c:ptCount val="4"/>
                <c:pt idx="0">
                  <c:v>1.0725704576641113</c:v>
                </c:pt>
                <c:pt idx="1">
                  <c:v>2.1055907997847676</c:v>
                </c:pt>
                <c:pt idx="2">
                  <c:v>3.0784425269928106</c:v>
                </c:pt>
                <c:pt idx="3">
                  <c:v>4.1932451014660481</c:v>
                </c:pt>
              </c:numCache>
            </c:numRef>
          </c:xVal>
          <c:yVal>
            <c:numRef>
              <c:f>('Таблица 2'!$E$6,'Таблица 2'!$E$12,'Таблица 2'!$E$18,'Таблица 2'!$E$24)</c:f>
              <c:numCache>
                <c:formatCode>0.00</c:formatCode>
                <c:ptCount val="4"/>
                <c:pt idx="0">
                  <c:v>6.0030306930848161E-2</c:v>
                </c:pt>
                <c:pt idx="1">
                  <c:v>0.10922735138138705</c:v>
                </c:pt>
                <c:pt idx="2">
                  <c:v>0.15820645325957713</c:v>
                </c:pt>
                <c:pt idx="3">
                  <c:v>0.20688950388740782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B3-479B-986A-7D1D329330D6}"/>
            </c:ext>
          </c:extLst>
        </c:ser>
        <c:ser>
          <c:idx val="4"/>
          <c:order val="4"/>
          <c:tx>
            <c:v>рис.5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2'!$D$7,'Таблица 2'!$D$13,'Таблица 2'!$D$19,'Таблица 2'!$D$25)</c:f>
              <c:numCache>
                <c:formatCode>0.00</c:formatCode>
                <c:ptCount val="4"/>
                <c:pt idx="0">
                  <c:v>0.86403484578472933</c:v>
                </c:pt>
                <c:pt idx="1">
                  <c:v>1.6448146727912083</c:v>
                </c:pt>
                <c:pt idx="2">
                  <c:v>2.393122075987058</c:v>
                </c:pt>
                <c:pt idx="3">
                  <c:v>2.9230470965755964</c:v>
                </c:pt>
              </c:numCache>
            </c:numRef>
          </c:xVal>
          <c:yVal>
            <c:numRef>
              <c:f>('Таблица 2'!$E$7,'Таблица 2'!$E$13,'Таблица 2'!$E$19,'Таблица 2'!$E$25)</c:f>
              <c:numCache>
                <c:formatCode>0.00</c:formatCode>
                <c:ptCount val="4"/>
                <c:pt idx="0">
                  <c:v>6.0059761126276832E-2</c:v>
                </c:pt>
                <c:pt idx="1">
                  <c:v>0.1093460579095515</c:v>
                </c:pt>
                <c:pt idx="2">
                  <c:v>0.15846276516421462</c:v>
                </c:pt>
                <c:pt idx="3">
                  <c:v>0.20751238739563999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B3-479B-986A-7D1D329330D6}"/>
            </c:ext>
          </c:extLst>
        </c:ser>
        <c:ser>
          <c:idx val="5"/>
          <c:order val="5"/>
          <c:tx>
            <c:v>рис.6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2'!$D$8,'Таблица 2'!$D$14,'Таблица 2'!$D$20,'Таблица 2'!$D$26)</c:f>
              <c:numCache>
                <c:formatCode>0.00</c:formatCode>
                <c:ptCount val="4"/>
                <c:pt idx="0">
                  <c:v>0.66416171574519545</c:v>
                </c:pt>
                <c:pt idx="1">
                  <c:v>1.263808461522629</c:v>
                </c:pt>
                <c:pt idx="2">
                  <c:v>1.9023000725274553</c:v>
                </c:pt>
                <c:pt idx="3">
                  <c:v>2.5146062701348129</c:v>
                </c:pt>
              </c:numCache>
            </c:numRef>
          </c:xVal>
          <c:yVal>
            <c:numRef>
              <c:f>('Таблица 2'!$E$8,'Таблица 2'!$E$14,'Таблица 2'!$E$20,'Таблица 2'!$E$26)</c:f>
              <c:numCache>
                <c:formatCode>0.00</c:formatCode>
                <c:ptCount val="4"/>
                <c:pt idx="0">
                  <c:v>6.0087991806783016E-2</c:v>
                </c:pt>
                <c:pt idx="1">
                  <c:v>0.10944421387271716</c:v>
                </c:pt>
                <c:pt idx="2">
                  <c:v>0.15864633406597453</c:v>
                </c:pt>
                <c:pt idx="3">
                  <c:v>0.20771267983343247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B3-479B-986A-7D1D3293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5728"/>
        <c:axId val="294941024"/>
      </c:scatterChart>
      <c:valAx>
        <c:axId val="2949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r>
                  <a:rPr lang="en-US"/>
                  <a:t>, </a:t>
                </a:r>
                <a:r>
                  <a:rPr lang="ru-RU"/>
                  <a:t>с</a:t>
                </a:r>
                <a:r>
                  <a:rPr lang="ru-RU" baseline="30000"/>
                  <a:t>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1024"/>
        <c:crosses val="autoZero"/>
        <c:crossBetween val="midCat"/>
      </c:valAx>
      <c:valAx>
        <c:axId val="294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</a:t>
                </a:r>
                <a:r>
                  <a:rPr lang="en-US" baseline="0"/>
                  <a:t> </a:t>
                </a:r>
                <a:r>
                  <a:rPr lang="ru-RU" baseline="0"/>
                  <a:t>Н*м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момента инерции</a:t>
            </a:r>
            <a:r>
              <a:rPr lang="ru-RU" baseline="0"/>
              <a:t> от положения утяжелителей</a:t>
            </a:r>
            <a:endParaRPr lang="ru-RU"/>
          </a:p>
        </c:rich>
      </c:tx>
      <c:layout>
        <c:manualLayout>
          <c:xMode val="edge"/>
          <c:yMode val="edge"/>
          <c:x val="0.23083262800618978"/>
          <c:y val="0.93648208469055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1.9940620739068802E-2</c:v>
                </c:pt>
                <c:pt idx="1">
                  <c:v>2.3471096415975178E-2</c:v>
                </c:pt>
                <c:pt idx="2">
                  <c:v>3.810245923233882E-2</c:v>
                </c:pt>
                <c:pt idx="3">
                  <c:v>4.7334343818490665E-2</c:v>
                </c:pt>
                <c:pt idx="4">
                  <c:v>7.0460298011761416E-2</c:v>
                </c:pt>
                <c:pt idx="5">
                  <c:v>7.9486642958391418E-2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BA-4DC3-9215-65B02991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512"/>
        <c:axId val="294944944"/>
      </c:scatterChart>
      <c:valAx>
        <c:axId val="2949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4944"/>
        <c:crosses val="autoZero"/>
        <c:crossBetween val="midCat"/>
      </c:valAx>
      <c:valAx>
        <c:axId val="2949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момента инерции</a:t>
            </a:r>
            <a:r>
              <a:rPr lang="ru-RU" baseline="0"/>
              <a:t> от положения утяжелителей</a:t>
            </a:r>
            <a:endParaRPr lang="ru-RU"/>
          </a:p>
        </c:rich>
      </c:tx>
      <c:layout>
        <c:manualLayout>
          <c:xMode val="edge"/>
          <c:yMode val="edge"/>
          <c:x val="0.23083262800618978"/>
          <c:y val="0.93648208469055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1.9940620739068802E-2</c:v>
                </c:pt>
                <c:pt idx="1">
                  <c:v>2.3471096415975178E-2</c:v>
                </c:pt>
                <c:pt idx="2">
                  <c:v>3.810245923233882E-2</c:v>
                </c:pt>
                <c:pt idx="3">
                  <c:v>4.7334343818490665E-2</c:v>
                </c:pt>
                <c:pt idx="4">
                  <c:v>7.0460298011761416E-2</c:v>
                </c:pt>
                <c:pt idx="5">
                  <c:v>7.9486642958391418E-2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CF-4724-9462-27DB9D76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120"/>
        <c:axId val="294946904"/>
      </c:scatterChart>
      <c:valAx>
        <c:axId val="29494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904"/>
        <c:crosses val="autoZero"/>
        <c:crossBetween val="midCat"/>
      </c:valAx>
      <c:valAx>
        <c:axId val="29494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15240</xdr:rowOff>
    </xdr:from>
    <xdr:to>
      <xdr:col>17</xdr:col>
      <xdr:colOff>80010</xdr:colOff>
      <xdr:row>31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1C2F6E-36CC-42C9-B36D-A1F9079A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213360</xdr:colOff>
      <xdr:row>30</xdr:row>
      <xdr:rowOff>128016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E99654-640A-488E-9ABB-47D651E67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33</xdr:row>
      <xdr:rowOff>117451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DFC4ED-F82E-4BC9-92C9-4A0BD4DAF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00" cy="61524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213360</xdr:colOff>
      <xdr:row>30</xdr:row>
      <xdr:rowOff>128016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CF76E5-E835-47EC-9407-7BA575B4B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G9"/>
  <sheetViews>
    <sheetView workbookViewId="0">
      <selection activeCell="A18" sqref="A18"/>
    </sheetView>
  </sheetViews>
  <sheetFormatPr defaultRowHeight="14.4" x14ac:dyDescent="0.3"/>
  <cols>
    <col min="1" max="1" width="26.33203125" customWidth="1"/>
  </cols>
  <sheetData>
    <row r="1" spans="1:7" x14ac:dyDescent="0.3">
      <c r="A1" s="29" t="s">
        <v>42</v>
      </c>
    </row>
    <row r="2" spans="1:7" ht="43.2" x14ac:dyDescent="0.3">
      <c r="A2" s="29" t="s">
        <v>38</v>
      </c>
      <c r="B2" s="25">
        <v>1</v>
      </c>
      <c r="C2" s="25">
        <v>1</v>
      </c>
      <c r="D2" s="25">
        <v>1</v>
      </c>
      <c r="E2" s="25">
        <v>1</v>
      </c>
      <c r="F2" s="25"/>
      <c r="G2" s="25"/>
    </row>
    <row r="3" spans="1:7" ht="28.8" x14ac:dyDescent="0.3">
      <c r="A3" s="29" t="s">
        <v>41</v>
      </c>
      <c r="B3" s="25">
        <v>1</v>
      </c>
      <c r="C3" s="25">
        <v>1</v>
      </c>
      <c r="D3" s="25">
        <v>1</v>
      </c>
      <c r="E3" s="25">
        <v>1</v>
      </c>
      <c r="F3" s="25"/>
      <c r="G3" s="25"/>
    </row>
    <row r="4" spans="1:7" x14ac:dyDescent="0.3">
      <c r="A4" s="29" t="s">
        <v>40</v>
      </c>
    </row>
    <row r="5" spans="1:7" ht="28.8" x14ac:dyDescent="0.3">
      <c r="A5" s="29" t="s">
        <v>43</v>
      </c>
    </row>
    <row r="6" spans="1:7" ht="28.8" x14ac:dyDescent="0.3">
      <c r="A6" s="29" t="s">
        <v>46</v>
      </c>
      <c r="B6" s="28"/>
    </row>
    <row r="7" spans="1:7" x14ac:dyDescent="0.3">
      <c r="A7" s="29" t="s">
        <v>44</v>
      </c>
      <c r="B7">
        <f>B5*B5*B2*B2</f>
        <v>0</v>
      </c>
    </row>
    <row r="8" spans="1:7" ht="28.8" x14ac:dyDescent="0.3">
      <c r="A8" s="29" t="s">
        <v>39</v>
      </c>
      <c r="B8">
        <f>SQRT(SUM(7:7))</f>
        <v>0</v>
      </c>
    </row>
    <row r="9" spans="1:7" ht="28.8" x14ac:dyDescent="0.3">
      <c r="A9" s="29" t="s">
        <v>47</v>
      </c>
      <c r="B9">
        <f>B8/B3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R9"/>
  <sheetViews>
    <sheetView workbookViewId="0">
      <selection activeCell="A3" sqref="A3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4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10" t="s">
        <v>29</v>
      </c>
      <c r="E1" s="11" t="s">
        <v>30</v>
      </c>
      <c r="F1" s="10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v>8.1666666666666637E-2</v>
      </c>
      <c r="B2" s="14">
        <v>48.691666666666663</v>
      </c>
      <c r="C2" s="15">
        <f>(A2-$L$2)*(A2-$L$2)</f>
        <v>0.67521436734693863</v>
      </c>
      <c r="D2" s="14">
        <f>(B2-$M$2)*(B2-$M$2)</f>
        <v>63998.398534240383</v>
      </c>
      <c r="E2" s="16">
        <f>A2-$L$2</f>
        <v>-0.82171428571428562</v>
      </c>
      <c r="F2" s="14">
        <f>B2-$M$2</f>
        <v>-252.97904761904766</v>
      </c>
      <c r="G2" s="17">
        <f>E2*F2</f>
        <v>207.876497414966</v>
      </c>
      <c r="H2" s="15">
        <f>B2-($O$2+$N$2*A2)</f>
        <v>0.42403696602093532</v>
      </c>
      <c r="I2" s="18">
        <f>H2*H2</f>
        <v>0.17980734855223987</v>
      </c>
      <c r="J2" s="23">
        <f>SQRT(4*$R$2+4*$Q$2*A2*A2)</f>
        <v>4.9576164097232098</v>
      </c>
      <c r="K2" s="15"/>
      <c r="L2" s="15">
        <f>SUM(A:A)/COUNT(A:A)</f>
        <v>0.90338095238095228</v>
      </c>
      <c r="M2" s="15">
        <f>SUM(B:B)/COUNT(B:B)</f>
        <v>301.67071428571433</v>
      </c>
      <c r="N2" s="15">
        <f>SUM(G:G)/SUM(C:C)</f>
        <v>308.38344786082757</v>
      </c>
      <c r="O2" s="15">
        <f>M2-N2*L2</f>
        <v>23.082981458678148</v>
      </c>
      <c r="P2" s="15">
        <f>SUM(C:C)</f>
        <v>1.902756984126984</v>
      </c>
      <c r="Q2" s="15">
        <f>1/P2*SUM(I:I)/(COUNT(I:I)-2)</f>
        <v>5.6135134076679245</v>
      </c>
      <c r="R2" s="15">
        <f>(1/COUNT(I:I)+L2*L2/P2)*SUM(I:I)/(COUNT(I:I)-2)</f>
        <v>6.1070511006786266</v>
      </c>
    </row>
    <row r="3" spans="1:18" ht="16.8" thickTop="1" thickBot="1" x14ac:dyDescent="0.35">
      <c r="A3" s="13">
        <v>0.38399999999999995</v>
      </c>
      <c r="B3" s="14">
        <v>141.54</v>
      </c>
      <c r="C3" s="15">
        <f>(A3-$L$2)*(A3-$L$2)</f>
        <v>0.26975657369614503</v>
      </c>
      <c r="D3" s="14">
        <f>(B3-$M$2)*(B3-$M$2)</f>
        <v>25641.845657653077</v>
      </c>
      <c r="E3" s="19">
        <f>A3-$L$2</f>
        <v>-0.51938095238095228</v>
      </c>
      <c r="F3" s="14">
        <f>B3-$M$2</f>
        <v>-160.13071428571433</v>
      </c>
      <c r="G3" s="17">
        <f>E3*F3</f>
        <v>83.168842891156473</v>
      </c>
      <c r="H3" s="15">
        <f>B3-($O$2+$N$2*A3)</f>
        <v>3.7774562764070652E-2</v>
      </c>
      <c r="I3" s="14">
        <f>H3*H3</f>
        <v>1.426917592016713E-3</v>
      </c>
      <c r="J3" s="17">
        <f t="shared" ref="J3:J8" si="0">SQRT(4*$R$2+4*$Q$2*A3*A3)</f>
        <v>5.2668006735473512</v>
      </c>
      <c r="K3" s="24"/>
      <c r="L3" s="15"/>
      <c r="M3" s="15"/>
      <c r="N3" s="30"/>
      <c r="O3" s="30"/>
      <c r="P3" s="15"/>
      <c r="Q3" s="30" t="s">
        <v>58</v>
      </c>
      <c r="R3" s="30" t="s">
        <v>59</v>
      </c>
    </row>
    <row r="4" spans="1:18" ht="15.6" thickTop="1" thickBot="1" x14ac:dyDescent="0.35">
      <c r="A4" s="13">
        <v>0.66499999999999992</v>
      </c>
      <c r="B4" s="14">
        <v>228.87500000000003</v>
      </c>
      <c r="C4" s="15">
        <f t="shared" ref="C4:C8" si="1">(A4-$L$2)*(A4-$L$2)</f>
        <v>5.6825478458049875E-2</v>
      </c>
      <c r="D4" s="14">
        <f t="shared" ref="D4:D8" si="2">(B4-$M$2)*(B4-$M$2)</f>
        <v>5299.2160183673486</v>
      </c>
      <c r="E4" s="19">
        <f t="shared" ref="E4:E8" si="3">A4-$L$2</f>
        <v>-0.23838095238095236</v>
      </c>
      <c r="F4" s="14">
        <f t="shared" ref="F4:F8" si="4">B4-$M$2</f>
        <v>-72.795714285714297</v>
      </c>
      <c r="G4" s="17">
        <f t="shared" ref="G4:G8" si="5">E4*F4</f>
        <v>17.353111700680273</v>
      </c>
      <c r="H4" s="15">
        <f t="shared" ref="H4:H8" si="6">B4-($O$2+$N$2*A4)</f>
        <v>0.71702571387157832</v>
      </c>
      <c r="I4" s="14">
        <f t="shared" ref="I4:I8" si="7">H4*H4</f>
        <v>0.51412587435304646</v>
      </c>
      <c r="J4" s="17">
        <f t="shared" si="0"/>
        <v>5.8615653429385484</v>
      </c>
      <c r="K4" s="15"/>
      <c r="L4" s="15"/>
      <c r="M4" s="15"/>
      <c r="N4" s="15"/>
      <c r="O4" s="15"/>
      <c r="P4" s="15"/>
      <c r="Q4" s="15">
        <f>SQRT(Q2)</f>
        <v>2.3692854213175591</v>
      </c>
      <c r="R4" s="15">
        <f>SQRT(R2)</f>
        <v>2.4712448483868665</v>
      </c>
    </row>
    <row r="5" spans="1:18" ht="16.8" thickTop="1" thickBot="1" x14ac:dyDescent="0.35">
      <c r="A5" s="13">
        <v>0.94166666666666643</v>
      </c>
      <c r="B5" s="14">
        <v>310.74166666666667</v>
      </c>
      <c r="C5" s="15">
        <f t="shared" si="1"/>
        <v>1.4657959183673362E-3</v>
      </c>
      <c r="D5" s="14">
        <f t="shared" si="2"/>
        <v>82.282177097505084</v>
      </c>
      <c r="E5" s="19">
        <f t="shared" si="3"/>
        <v>3.8285714285714145E-2</v>
      </c>
      <c r="F5" s="14">
        <f t="shared" si="4"/>
        <v>9.0709523809523489</v>
      </c>
      <c r="G5" s="17">
        <f t="shared" si="5"/>
        <v>0.34728789115646008</v>
      </c>
      <c r="H5" s="15">
        <f t="shared" si="6"/>
        <v>-2.7357281942906866</v>
      </c>
      <c r="I5" s="14">
        <f t="shared" si="7"/>
        <v>7.484208753036981</v>
      </c>
      <c r="J5" s="17">
        <f t="shared" si="0"/>
        <v>6.6587554841619347</v>
      </c>
      <c r="K5" s="15"/>
      <c r="L5" s="15"/>
      <c r="M5" s="15"/>
      <c r="N5" s="15"/>
      <c r="O5" s="15"/>
      <c r="P5" s="15"/>
      <c r="Q5" s="30" t="s">
        <v>60</v>
      </c>
      <c r="R5" s="30" t="s">
        <v>61</v>
      </c>
    </row>
    <row r="6" spans="1:18" ht="15" thickTop="1" x14ac:dyDescent="0.3">
      <c r="A6" s="13">
        <v>1.1760000000000002</v>
      </c>
      <c r="B6" s="14">
        <v>388.98</v>
      </c>
      <c r="C6" s="15">
        <f t="shared" si="1"/>
        <v>7.4321145124716687E-2</v>
      </c>
      <c r="D6" s="14">
        <f t="shared" si="2"/>
        <v>7622.9113719387715</v>
      </c>
      <c r="E6" s="19">
        <f t="shared" si="3"/>
        <v>0.27261904761904787</v>
      </c>
      <c r="F6" s="14">
        <f t="shared" si="4"/>
        <v>87.309285714285693</v>
      </c>
      <c r="G6" s="17">
        <f t="shared" si="5"/>
        <v>23.802174319727907</v>
      </c>
      <c r="H6" s="15">
        <f t="shared" si="6"/>
        <v>3.2380838569886237</v>
      </c>
      <c r="I6" s="14">
        <f t="shared" si="7"/>
        <v>10.485187064890322</v>
      </c>
      <c r="J6" s="17">
        <f t="shared" si="0"/>
        <v>7.4485986384451097</v>
      </c>
      <c r="K6" s="15"/>
      <c r="L6" s="15"/>
      <c r="M6" s="15"/>
      <c r="N6" s="15"/>
      <c r="O6" s="15"/>
      <c r="P6" s="15"/>
      <c r="Q6" s="15">
        <f>Q4*2</f>
        <v>4.7385708426351183</v>
      </c>
      <c r="R6" s="15">
        <f>R4*2</f>
        <v>4.9424896967737331</v>
      </c>
    </row>
    <row r="7" spans="1:18" x14ac:dyDescent="0.3">
      <c r="A7" s="13">
        <v>1.436333333333333</v>
      </c>
      <c r="B7" s="14">
        <v>461.10166666666669</v>
      </c>
      <c r="C7" s="15">
        <f t="shared" si="1"/>
        <v>0.28403824036281156</v>
      </c>
      <c r="D7" s="14">
        <f t="shared" si="2"/>
        <v>25418.2285770975</v>
      </c>
      <c r="E7" s="19">
        <f t="shared" si="3"/>
        <v>0.53295238095238073</v>
      </c>
      <c r="F7" s="14">
        <f t="shared" si="4"/>
        <v>159.43095238095236</v>
      </c>
      <c r="G7" s="17">
        <f t="shared" si="5"/>
        <v>84.969105668934191</v>
      </c>
      <c r="H7" s="15">
        <f t="shared" si="6"/>
        <v>-4.9227404027800503</v>
      </c>
      <c r="I7" s="14">
        <f t="shared" si="7"/>
        <v>24.233373073163094</v>
      </c>
      <c r="J7" s="17">
        <f t="shared" si="0"/>
        <v>8.4114277674608857</v>
      </c>
      <c r="K7" s="15"/>
      <c r="L7" s="15"/>
      <c r="M7" s="15"/>
      <c r="N7" s="15"/>
      <c r="O7" s="15"/>
      <c r="P7" s="15"/>
      <c r="Q7" s="15"/>
      <c r="R7" s="15"/>
    </row>
    <row r="8" spans="1:18" x14ac:dyDescent="0.3">
      <c r="A8" s="13">
        <v>1.6390000000000002</v>
      </c>
      <c r="B8" s="14">
        <v>531.7650000000001</v>
      </c>
      <c r="C8" s="15">
        <f t="shared" si="1"/>
        <v>0.54113538321995514</v>
      </c>
      <c r="D8" s="14">
        <f t="shared" si="2"/>
        <v>52943.380318367374</v>
      </c>
      <c r="E8" s="19">
        <f t="shared" si="3"/>
        <v>0.73561904761904795</v>
      </c>
      <c r="F8" s="14">
        <f t="shared" si="4"/>
        <v>230.09428571428577</v>
      </c>
      <c r="G8" s="17">
        <f t="shared" si="5"/>
        <v>169.26173931972801</v>
      </c>
      <c r="H8" s="15">
        <f t="shared" si="6"/>
        <v>3.2415474974254721</v>
      </c>
      <c r="I8" s="14">
        <f t="shared" si="7"/>
        <v>10.507630178065341</v>
      </c>
      <c r="J8" s="17">
        <f t="shared" si="0"/>
        <v>9.2058133918689755</v>
      </c>
      <c r="K8" s="15"/>
      <c r="L8" s="15"/>
      <c r="M8" s="15"/>
      <c r="N8" s="15"/>
      <c r="O8" s="15"/>
      <c r="P8" s="15"/>
      <c r="Q8" s="15"/>
      <c r="R8" s="15"/>
    </row>
    <row r="9" spans="1:18" x14ac:dyDescent="0.3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9"/>
  <sheetViews>
    <sheetView workbookViewId="0">
      <selection activeCell="D1" sqref="D1"/>
    </sheetView>
  </sheetViews>
  <sheetFormatPr defaultRowHeight="14.4" x14ac:dyDescent="0.3"/>
  <sheetData>
    <row r="1" spans="1:1" x14ac:dyDescent="0.3">
      <c r="A1" t="s">
        <v>75</v>
      </c>
    </row>
    <row r="3" spans="1:1" x14ac:dyDescent="0.3">
      <c r="A3" t="s">
        <v>76</v>
      </c>
    </row>
    <row r="5" spans="1:1" x14ac:dyDescent="0.3">
      <c r="A5" t="s">
        <v>74</v>
      </c>
    </row>
    <row r="7" spans="1:1" x14ac:dyDescent="0.3">
      <c r="A7" t="s">
        <v>73</v>
      </c>
    </row>
    <row r="9" spans="1:1" x14ac:dyDescent="0.3">
      <c r="A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18"/>
  <sheetViews>
    <sheetView workbookViewId="0">
      <selection activeCell="B6" sqref="B6:G6"/>
    </sheetView>
  </sheetViews>
  <sheetFormatPr defaultRowHeight="14.4" x14ac:dyDescent="0.3"/>
  <cols>
    <col min="1" max="1" width="13.44140625" bestFit="1" customWidth="1"/>
  </cols>
  <sheetData>
    <row r="1" spans="1:7" x14ac:dyDescent="0.3">
      <c r="A1" s="46" t="s">
        <v>0</v>
      </c>
      <c r="B1" s="46" t="s">
        <v>1</v>
      </c>
      <c r="C1" s="46"/>
      <c r="D1" s="46"/>
      <c r="E1" s="46"/>
      <c r="F1" s="46"/>
      <c r="G1" s="46"/>
    </row>
    <row r="2" spans="1:7" x14ac:dyDescent="0.3">
      <c r="A2" s="46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58">
        <f>0.047+0.22</f>
        <v>0.26700000000000002</v>
      </c>
      <c r="B3" s="61">
        <v>4.2</v>
      </c>
      <c r="C3" s="62">
        <v>5.25</v>
      </c>
      <c r="D3" s="62">
        <v>6.25</v>
      </c>
      <c r="E3" s="62">
        <v>7.37</v>
      </c>
      <c r="F3" s="62">
        <v>8.5</v>
      </c>
      <c r="G3" s="63">
        <v>9.4700000000000006</v>
      </c>
    </row>
    <row r="4" spans="1:7" x14ac:dyDescent="0.3">
      <c r="A4" s="59"/>
      <c r="B4" s="61">
        <v>4.4000000000000004</v>
      </c>
      <c r="C4" s="62">
        <v>5.25</v>
      </c>
      <c r="D4" s="62">
        <v>6.31</v>
      </c>
      <c r="E4" s="62">
        <v>7.63</v>
      </c>
      <c r="F4" s="62">
        <v>8.34</v>
      </c>
      <c r="G4" s="63">
        <v>9.6199999999999992</v>
      </c>
    </row>
    <row r="5" spans="1:7" ht="15" thickBot="1" x14ac:dyDescent="0.35">
      <c r="A5" s="59"/>
      <c r="B5" s="64">
        <v>4.68</v>
      </c>
      <c r="C5" s="62">
        <v>5.38</v>
      </c>
      <c r="D5" s="62">
        <v>6.19</v>
      </c>
      <c r="E5" s="62">
        <v>7.6</v>
      </c>
      <c r="F5" s="62">
        <v>8.34</v>
      </c>
      <c r="G5" s="63">
        <v>9.6300000000000008</v>
      </c>
    </row>
    <row r="6" spans="1:7" ht="15" thickBot="1" x14ac:dyDescent="0.35">
      <c r="A6" s="60"/>
      <c r="B6" s="65">
        <v>4.4266666666666667</v>
      </c>
      <c r="C6" s="65">
        <f t="shared" ref="C6:F6" si="0">AVERAGE(C3:C5)</f>
        <v>5.293333333333333</v>
      </c>
      <c r="D6" s="65">
        <f t="shared" si="0"/>
        <v>6.25</v>
      </c>
      <c r="E6" s="65">
        <f t="shared" si="0"/>
        <v>7.5333333333333341</v>
      </c>
      <c r="F6" s="65">
        <f t="shared" si="0"/>
        <v>8.3933333333333326</v>
      </c>
      <c r="G6" s="66">
        <f>AVERAGE(G3:G5)</f>
        <v>9.5733333333333324</v>
      </c>
    </row>
    <row r="7" spans="1:7" x14ac:dyDescent="0.3">
      <c r="A7" s="45">
        <f>0.047+0.22*2</f>
        <v>0.48699999999999999</v>
      </c>
      <c r="B7" s="61">
        <v>3.25</v>
      </c>
      <c r="C7" s="62">
        <v>3.97</v>
      </c>
      <c r="D7" s="62">
        <v>4.53</v>
      </c>
      <c r="E7" s="62">
        <v>5.28</v>
      </c>
      <c r="F7" s="62">
        <v>6.16</v>
      </c>
      <c r="G7" s="63">
        <v>6.97</v>
      </c>
    </row>
    <row r="8" spans="1:7" x14ac:dyDescent="0.3">
      <c r="A8" s="45"/>
      <c r="B8" s="64">
        <v>3.38</v>
      </c>
      <c r="C8" s="62">
        <v>3.94</v>
      </c>
      <c r="D8" s="62">
        <v>4.66</v>
      </c>
      <c r="E8" s="62">
        <v>5.41</v>
      </c>
      <c r="F8" s="62">
        <v>6.12</v>
      </c>
      <c r="G8" s="63">
        <v>6.91</v>
      </c>
    </row>
    <row r="9" spans="1:7" ht="15" thickBot="1" x14ac:dyDescent="0.35">
      <c r="A9" s="45"/>
      <c r="B9" s="64">
        <v>3.34</v>
      </c>
      <c r="C9" s="62">
        <v>3.9</v>
      </c>
      <c r="D9" s="62">
        <v>4.5</v>
      </c>
      <c r="E9" s="62">
        <v>5.44</v>
      </c>
      <c r="F9" s="62">
        <v>5.97</v>
      </c>
      <c r="G9" s="63">
        <v>6.94</v>
      </c>
    </row>
    <row r="10" spans="1:7" ht="15" thickBot="1" x14ac:dyDescent="0.35">
      <c r="A10" s="45"/>
      <c r="B10" s="65">
        <v>3.3233333333333328</v>
      </c>
      <c r="C10" s="65">
        <f t="shared" ref="C10:F10" si="1">AVERAGE(C7:C9)</f>
        <v>3.936666666666667</v>
      </c>
      <c r="D10" s="65">
        <f t="shared" si="1"/>
        <v>4.5633333333333335</v>
      </c>
      <c r="E10" s="65">
        <f t="shared" si="1"/>
        <v>5.3766666666666678</v>
      </c>
      <c r="F10" s="65">
        <f t="shared" si="1"/>
        <v>6.083333333333333</v>
      </c>
      <c r="G10" s="66">
        <f>AVERAGE(G7:G9)</f>
        <v>6.94</v>
      </c>
    </row>
    <row r="11" spans="1:7" x14ac:dyDescent="0.3">
      <c r="A11" s="45">
        <f>0.047+0.22*3</f>
        <v>0.70700000000000007</v>
      </c>
      <c r="B11" s="61">
        <v>2.75</v>
      </c>
      <c r="C11" s="62">
        <v>3.09</v>
      </c>
      <c r="D11" s="62">
        <v>3.94</v>
      </c>
      <c r="E11" s="62">
        <v>4.47</v>
      </c>
      <c r="F11" s="62">
        <v>5.0599999999999996</v>
      </c>
      <c r="G11" s="67">
        <v>5.72</v>
      </c>
    </row>
    <row r="12" spans="1:7" x14ac:dyDescent="0.3">
      <c r="A12" s="45"/>
      <c r="B12" s="61">
        <v>2.82</v>
      </c>
      <c r="C12" s="62">
        <v>3.12</v>
      </c>
      <c r="D12" s="62">
        <v>3.84</v>
      </c>
      <c r="E12" s="62">
        <v>4.4000000000000004</v>
      </c>
      <c r="F12" s="62">
        <v>5.03</v>
      </c>
      <c r="G12" s="68">
        <v>5.62</v>
      </c>
    </row>
    <row r="13" spans="1:7" ht="15" thickBot="1" x14ac:dyDescent="0.35">
      <c r="A13" s="45"/>
      <c r="B13" s="64">
        <v>2.75</v>
      </c>
      <c r="C13" s="62">
        <v>3.12</v>
      </c>
      <c r="D13" s="62">
        <v>3.75</v>
      </c>
      <c r="E13" s="62">
        <v>4.47</v>
      </c>
      <c r="F13" s="62">
        <v>5.04</v>
      </c>
      <c r="G13" s="68">
        <v>5.63</v>
      </c>
    </row>
    <row r="14" spans="1:7" ht="15" thickBot="1" x14ac:dyDescent="0.35">
      <c r="A14" s="45"/>
      <c r="B14" s="65">
        <v>2.7733333333333334</v>
      </c>
      <c r="C14" s="65">
        <f t="shared" ref="C14:F14" si="2">AVERAGE(C11:C13)</f>
        <v>3.11</v>
      </c>
      <c r="D14" s="65">
        <f t="shared" si="2"/>
        <v>3.8433333333333333</v>
      </c>
      <c r="E14" s="65">
        <f t="shared" si="2"/>
        <v>4.4466666666666663</v>
      </c>
      <c r="F14" s="65">
        <f t="shared" si="2"/>
        <v>5.043333333333333</v>
      </c>
      <c r="G14" s="66">
        <f>AVERAGE(G11:G13)</f>
        <v>5.6566666666666663</v>
      </c>
    </row>
    <row r="15" spans="1:7" x14ac:dyDescent="0.3">
      <c r="A15" s="45">
        <f>0.047+0.22*4</f>
        <v>0.92700000000000005</v>
      </c>
      <c r="B15" s="61">
        <v>2.44</v>
      </c>
      <c r="C15" s="62">
        <v>2.69</v>
      </c>
      <c r="D15" s="62">
        <v>3.34</v>
      </c>
      <c r="E15" s="62">
        <v>3.81</v>
      </c>
      <c r="F15" s="62">
        <v>4.9800000000000004</v>
      </c>
      <c r="G15" s="69">
        <v>4.91</v>
      </c>
    </row>
    <row r="16" spans="1:7" x14ac:dyDescent="0.3">
      <c r="A16" s="45"/>
      <c r="B16" s="61">
        <v>2.4300000000000002</v>
      </c>
      <c r="C16" s="62">
        <v>2.75</v>
      </c>
      <c r="D16" s="62">
        <v>3.31</v>
      </c>
      <c r="E16" s="62">
        <v>3.81</v>
      </c>
      <c r="F16" s="62">
        <v>4.34</v>
      </c>
      <c r="G16" s="69">
        <v>4.97</v>
      </c>
    </row>
    <row r="17" spans="1:7" ht="15" thickBot="1" x14ac:dyDescent="0.35">
      <c r="A17" s="45"/>
      <c r="B17" s="61">
        <v>2.41</v>
      </c>
      <c r="C17" s="62">
        <v>2.72</v>
      </c>
      <c r="D17" s="62">
        <v>3.4</v>
      </c>
      <c r="E17" s="62">
        <v>3.81</v>
      </c>
      <c r="F17" s="62">
        <v>4.37</v>
      </c>
      <c r="G17" s="69">
        <v>4.88</v>
      </c>
    </row>
    <row r="18" spans="1:7" ht="15" thickBot="1" x14ac:dyDescent="0.35">
      <c r="A18" s="45"/>
      <c r="B18" s="65">
        <v>2.4266666666666667</v>
      </c>
      <c r="C18" s="65">
        <f t="shared" ref="C18:F18" si="3">AVERAGE(C15:C17)</f>
        <v>2.72</v>
      </c>
      <c r="D18" s="65">
        <f t="shared" si="3"/>
        <v>3.35</v>
      </c>
      <c r="E18" s="65">
        <f t="shared" si="3"/>
        <v>3.81</v>
      </c>
      <c r="F18" s="65">
        <f t="shared" si="3"/>
        <v>4.5633333333333335</v>
      </c>
      <c r="G18" s="66">
        <f>AVERAGE(G15:G17)</f>
        <v>4.919999999999999</v>
      </c>
    </row>
  </sheetData>
  <mergeCells count="6">
    <mergeCell ref="A15:A18"/>
    <mergeCell ref="A1:A2"/>
    <mergeCell ref="B1:G1"/>
    <mergeCell ref="A3:A6"/>
    <mergeCell ref="A7:A10"/>
    <mergeCell ref="A11:A1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145"/>
  <sheetViews>
    <sheetView topLeftCell="E6" workbookViewId="0">
      <selection activeCell="B3" sqref="B3:B26"/>
    </sheetView>
  </sheetViews>
  <sheetFormatPr defaultRowHeight="14.4" x14ac:dyDescent="0.3"/>
  <cols>
    <col min="1" max="1" width="13.44140625" bestFit="1" customWidth="1"/>
    <col min="9" max="9" width="9.44140625" style="70" bestFit="1" customWidth="1"/>
  </cols>
  <sheetData>
    <row r="1" spans="1:9" ht="18" customHeight="1" x14ac:dyDescent="0.3"/>
    <row r="2" spans="1:9" ht="16.8" x14ac:dyDescent="0.35">
      <c r="A2" s="20" t="s">
        <v>0</v>
      </c>
      <c r="B2" s="20" t="s">
        <v>8</v>
      </c>
      <c r="C2" s="21" t="s">
        <v>9</v>
      </c>
      <c r="D2" s="22" t="s">
        <v>10</v>
      </c>
      <c r="E2" s="2" t="s">
        <v>11</v>
      </c>
    </row>
    <row r="3" spans="1:9" x14ac:dyDescent="0.3">
      <c r="A3" s="45">
        <f>'Таблица 1'!A3</f>
        <v>0.26700000000000002</v>
      </c>
      <c r="B3" s="12">
        <f>'Таблица 1'!B6</f>
        <v>4.4266666666666667</v>
      </c>
      <c r="C3" s="12">
        <f>'Параметры установки'!$A$2*2/B3/B3</f>
        <v>7.14454202351575E-2</v>
      </c>
      <c r="D3" s="12">
        <f>2*C3/'Параметры установки'!$B$2</f>
        <v>3.1063226189198914</v>
      </c>
      <c r="E3" s="12">
        <f>$A$3*'Параметры установки'!$B$2/2*(9.8-C3)</f>
        <v>5.9743053674335911E-2</v>
      </c>
      <c r="G3" t="s">
        <v>77</v>
      </c>
      <c r="H3" s="15">
        <f>(D3+D9+D15+D21)/4</f>
        <v>6.7170637667044168</v>
      </c>
      <c r="I3" s="70">
        <f>(E3+E9+E15+E21)/4</f>
        <v>0.13209196064591633</v>
      </c>
    </row>
    <row r="4" spans="1:9" x14ac:dyDescent="0.3">
      <c r="A4" s="45"/>
      <c r="B4" s="12">
        <f>'Таблица 1'!C6</f>
        <v>5.293333333333333</v>
      </c>
      <c r="C4" s="12">
        <f>'Параметры установки'!$A$2*2/B4/B4</f>
        <v>4.9965420756428888E-2</v>
      </c>
      <c r="D4" s="12">
        <f>2*C4/'Параметры установки'!$B$2</f>
        <v>2.1724095981056037</v>
      </c>
      <c r="E4" s="12">
        <f>$A$3*'Параметры установки'!$B$2/2*(9.8-C4)</f>
        <v>5.9874962351134778E-2</v>
      </c>
      <c r="G4" t="s">
        <v>78</v>
      </c>
      <c r="H4" s="15">
        <f t="shared" ref="H4:I4" si="0">(D4+D10+D16+D22)/4</f>
        <v>5.1552153404849097</v>
      </c>
      <c r="I4" s="70">
        <f t="shared" si="0"/>
        <v>0.13263704807347801</v>
      </c>
    </row>
    <row r="5" spans="1:9" x14ac:dyDescent="0.3">
      <c r="A5" s="45"/>
      <c r="B5" s="12">
        <f>'Таблица 1'!D6</f>
        <v>6.25</v>
      </c>
      <c r="C5" s="12">
        <f>'Параметры установки'!$A$2*2/B5/B5</f>
        <v>3.5839999999999997E-2</v>
      </c>
      <c r="D5" s="12">
        <f>2*C5/'Параметры установки'!$B$2</f>
        <v>1.5582608695652174</v>
      </c>
      <c r="E5" s="12">
        <f>$A$3*'Параметры установки'!$B$2/2*(9.8-C5)</f>
        <v>5.9961706560000008E-2</v>
      </c>
      <c r="G5" t="s">
        <v>79</v>
      </c>
      <c r="H5" s="15">
        <f t="shared" ref="H5:I5" si="1">(D5+D11+D17+D23)/4</f>
        <v>3.5065046606659758</v>
      </c>
      <c r="I5" s="70">
        <f t="shared" si="1"/>
        <v>0.13327027001762168</v>
      </c>
    </row>
    <row r="6" spans="1:9" x14ac:dyDescent="0.3">
      <c r="A6" s="45"/>
      <c r="B6" s="12">
        <f>'Таблица 1'!E6</f>
        <v>7.5333333333333341</v>
      </c>
      <c r="C6" s="12">
        <f>'Параметры установки'!$A$2*2/B6/B6</f>
        <v>2.4669120526274561E-2</v>
      </c>
      <c r="D6" s="12">
        <f>2*C6/'Параметры установки'!$B$2</f>
        <v>1.0725704576641113</v>
      </c>
      <c r="E6" s="12">
        <f>$A$3*'Параметры установки'!$B$2/2*(9.8-C6)</f>
        <v>6.0030306930848161E-2</v>
      </c>
      <c r="G6" t="s">
        <v>80</v>
      </c>
      <c r="H6" s="15">
        <f t="shared" ref="H6:I6" si="2">(D6+D12+D18+D24)/4</f>
        <v>2.6124622214769344</v>
      </c>
      <c r="I6" s="70">
        <f t="shared" si="2"/>
        <v>0.13358840386480503</v>
      </c>
    </row>
    <row r="7" spans="1:9" x14ac:dyDescent="0.3">
      <c r="A7" s="45"/>
      <c r="B7" s="12">
        <f>'Таблица 1'!F6</f>
        <v>8.3933333333333326</v>
      </c>
      <c r="C7" s="12">
        <f>'Параметры установки'!$A$2*2/B7/B7</f>
        <v>1.9872801453048775E-2</v>
      </c>
      <c r="D7" s="12">
        <f>2*C7/'Параметры установки'!$B$2</f>
        <v>0.86403484578472933</v>
      </c>
      <c r="E7" s="12">
        <f>$A$3*'Параметры установки'!$B$2/2*(9.8-C7)</f>
        <v>6.0059761126276832E-2</v>
      </c>
      <c r="G7" t="s">
        <v>81</v>
      </c>
      <c r="H7" s="15">
        <f t="shared" ref="H7:I7" si="3">(D7+D13+D19+D25)/4</f>
        <v>1.9562546727846479</v>
      </c>
      <c r="I7" s="70">
        <f t="shared" si="3"/>
        <v>0.13384524289892075</v>
      </c>
    </row>
    <row r="8" spans="1:9" x14ac:dyDescent="0.3">
      <c r="A8" s="45"/>
      <c r="B8" s="12">
        <f>'Таблица 1'!G6</f>
        <v>9.5733333333333324</v>
      </c>
      <c r="C8" s="12">
        <f>'Параметры установки'!$A$2*2/B8/B8</f>
        <v>1.5275719462139495E-2</v>
      </c>
      <c r="D8" s="12">
        <f>2*C8/'Параметры установки'!$B$2</f>
        <v>0.66416171574519545</v>
      </c>
      <c r="E8" s="12">
        <f>$A$3*'Параметры установки'!$B$2/2*(9.8-C8)</f>
        <v>6.0087991806783016E-2</v>
      </c>
      <c r="G8" t="s">
        <v>82</v>
      </c>
      <c r="H8" s="15">
        <f t="shared" ref="H8:I8" si="4">(D8+D14+D20+D26)/4</f>
        <v>1.5862191299825232</v>
      </c>
      <c r="I8" s="70">
        <f t="shared" si="4"/>
        <v>0.13397280489472679</v>
      </c>
    </row>
    <row r="9" spans="1:9" x14ac:dyDescent="0.3">
      <c r="A9" s="45">
        <f>'Таблица 1'!A7</f>
        <v>0.48699999999999999</v>
      </c>
      <c r="B9" s="12">
        <f>'Таблица 1'!B10</f>
        <v>3.3233333333333328</v>
      </c>
      <c r="C9" s="12">
        <f>'Параметры установки'!$A$2*2/B9/B9</f>
        <v>0.12675941565921439</v>
      </c>
      <c r="D9" s="12">
        <f>2*C9/'Параметры установки'!$B$2</f>
        <v>5.5112789417049735</v>
      </c>
      <c r="E9" s="12">
        <f>$A$9*'Параметры установки'!$B$2/2*(9.8-C9)</f>
        <v>0.10834996778520115</v>
      </c>
    </row>
    <row r="10" spans="1:9" x14ac:dyDescent="0.3">
      <c r="A10" s="45"/>
      <c r="B10" s="12">
        <f>'Таблица 1'!C10</f>
        <v>3.936666666666667</v>
      </c>
      <c r="C10" s="12">
        <f>'Параметры установки'!$A$2*2/B10/B10</f>
        <v>9.0338057918166612E-2</v>
      </c>
      <c r="D10" s="12">
        <f>2*C10/'Параметры установки'!$B$2</f>
        <v>3.9277416486159398</v>
      </c>
      <c r="E10" s="12">
        <f>$A$9*'Параметры установки'!$B$2/2*(9.8-C10)</f>
        <v>0.10875792341325861</v>
      </c>
    </row>
    <row r="11" spans="1:9" x14ac:dyDescent="0.3">
      <c r="A11" s="45"/>
      <c r="B11" s="12">
        <f>'Таблица 1'!D10</f>
        <v>4.5633333333333335</v>
      </c>
      <c r="C11" s="12">
        <f>'Параметры установки'!$A$2*2/B11/B11</f>
        <v>6.7230083221238718E-2</v>
      </c>
      <c r="D11" s="12">
        <f>2*C11/'Параметры установки'!$B$2</f>
        <v>2.9230470965755964</v>
      </c>
      <c r="E11" s="12">
        <f>$A$9*'Параметры установки'!$B$2/2*(9.8-C11)</f>
        <v>0.10901675583783892</v>
      </c>
    </row>
    <row r="12" spans="1:9" x14ac:dyDescent="0.3">
      <c r="A12" s="45"/>
      <c r="B12" s="12">
        <f>'Таблица 1'!E10</f>
        <v>5.3766666666666678</v>
      </c>
      <c r="C12" s="12">
        <f>'Параметры установки'!$A$2*2/B12/B12</f>
        <v>4.8428588395049654E-2</v>
      </c>
      <c r="D12" s="12">
        <f>2*C12/'Параметры установки'!$B$2</f>
        <v>2.1055907997847676</v>
      </c>
      <c r="E12" s="12">
        <f>$A$9*'Параметры установки'!$B$2/2*(9.8-C12)</f>
        <v>0.10922735138138705</v>
      </c>
    </row>
    <row r="13" spans="1:9" x14ac:dyDescent="0.3">
      <c r="A13" s="45"/>
      <c r="B13" s="12">
        <f>'Таблица 1'!F10</f>
        <v>6.083333333333333</v>
      </c>
      <c r="C13" s="12">
        <f>'Параметры установки'!$A$2*2/B13/B13</f>
        <v>3.7830737474197788E-2</v>
      </c>
      <c r="D13" s="12">
        <f>2*C13/'Параметры установки'!$B$2</f>
        <v>1.6448146727912083</v>
      </c>
      <c r="E13" s="12">
        <f>$A$9*'Параметры установки'!$B$2/2*(9.8-C13)</f>
        <v>0.1093460579095515</v>
      </c>
    </row>
    <row r="14" spans="1:9" x14ac:dyDescent="0.3">
      <c r="A14" s="45"/>
      <c r="B14" s="12">
        <f>'Таблица 1'!G10</f>
        <v>6.94</v>
      </c>
      <c r="C14" s="12">
        <f>'Параметры установки'!$A$2*2/B14/B14</f>
        <v>2.9067594615020467E-2</v>
      </c>
      <c r="D14" s="12">
        <f>2*C14/'Параметры установки'!$B$2</f>
        <v>1.263808461522629</v>
      </c>
      <c r="E14" s="12">
        <f>$A$9*'Параметры установки'!$B$2/2*(9.8-C14)</f>
        <v>0.10944421387271716</v>
      </c>
    </row>
    <row r="15" spans="1:9" x14ac:dyDescent="0.3">
      <c r="A15" s="45">
        <f>'Таблица 1'!A11</f>
        <v>0.70700000000000007</v>
      </c>
      <c r="B15" s="12">
        <f>'Таблица 1'!B14</f>
        <v>2.7733333333333334</v>
      </c>
      <c r="C15" s="12">
        <f>'Параметры установки'!$A$2*2/B15/B15</f>
        <v>0.18202200443786981</v>
      </c>
      <c r="D15" s="12">
        <f>2*C15/'Параметры установки'!$B$2</f>
        <v>7.9140001929508612</v>
      </c>
      <c r="E15" s="12">
        <f>$A$15*'Параметры установки'!$B$2/2*(9.8-C15)</f>
        <v>0.1563979401858358</v>
      </c>
    </row>
    <row r="16" spans="1:9" x14ac:dyDescent="0.3">
      <c r="A16" s="45"/>
      <c r="B16" s="12">
        <f>'Таблица 1'!C14</f>
        <v>3.11</v>
      </c>
      <c r="C16" s="12">
        <f>'Параметры установки'!$A$2*2/B16/B16</f>
        <v>0.14474622884378779</v>
      </c>
      <c r="D16" s="12">
        <f>2*C16/'Параметры установки'!$B$2</f>
        <v>6.293314297555991</v>
      </c>
      <c r="E16" s="12">
        <f>$A$15*'Параметры установки'!$B$2/2*(9.8-C16)</f>
        <v>0.15700408157277118</v>
      </c>
    </row>
    <row r="17" spans="1:5" x14ac:dyDescent="0.3">
      <c r="A17" s="45"/>
      <c r="B17" s="12">
        <f>'Таблица 1'!D14</f>
        <v>3.8433333333333333</v>
      </c>
      <c r="C17" s="12">
        <f>'Параметры установки'!$A$2*2/B17/B17</f>
        <v>9.4778958168629829E-2</v>
      </c>
      <c r="D17" s="12">
        <f>2*C17/'Параметры установки'!$B$2</f>
        <v>4.1208242682012965</v>
      </c>
      <c r="E17" s="12">
        <f>$A$15*'Параметры установки'!$B$2/2*(9.8-C17)</f>
        <v>0.15781659936121992</v>
      </c>
    </row>
    <row r="18" spans="1:5" x14ac:dyDescent="0.3">
      <c r="A18" s="45"/>
      <c r="B18" s="12">
        <f>'Таблица 1'!E14</f>
        <v>4.4466666666666663</v>
      </c>
      <c r="C18" s="12">
        <f>'Параметры установки'!$A$2*2/B18/B18</f>
        <v>7.0804178120834643E-2</v>
      </c>
      <c r="D18" s="12">
        <f>2*C18/'Параметры установки'!$B$2</f>
        <v>3.0784425269928106</v>
      </c>
      <c r="E18" s="12">
        <f>$A$15*'Параметры установки'!$B$2/2*(9.8-C18)</f>
        <v>0.15820645325957713</v>
      </c>
    </row>
    <row r="19" spans="1:5" x14ac:dyDescent="0.3">
      <c r="A19" s="45"/>
      <c r="B19" s="12">
        <f>'Таблица 1'!F14</f>
        <v>5.043333333333333</v>
      </c>
      <c r="C19" s="12">
        <f>'Параметры установки'!$A$2*2/B19/B19</f>
        <v>5.5041807747702336E-2</v>
      </c>
      <c r="D19" s="12">
        <f>2*C19/'Параметры установки'!$B$2</f>
        <v>2.393122075987058</v>
      </c>
      <c r="E19" s="12">
        <f>$A$15*'Параметры установки'!$B$2/2*(9.8-C19)</f>
        <v>0.15846276516421462</v>
      </c>
    </row>
    <row r="20" spans="1:5" x14ac:dyDescent="0.3">
      <c r="A20" s="45"/>
      <c r="B20" s="12">
        <f>'Таблица 1'!G14</f>
        <v>5.6566666666666663</v>
      </c>
      <c r="C20" s="12">
        <f>'Параметры установки'!$A$2*2/B20/B20</f>
        <v>4.3752901668131471E-2</v>
      </c>
      <c r="D20" s="12">
        <f>2*C20/'Параметры установки'!$B$2</f>
        <v>1.9023000725274553</v>
      </c>
      <c r="E20" s="12">
        <f>$A$15*'Параметры установки'!$B$2/2*(9.8-C20)</f>
        <v>0.15864633406597453</v>
      </c>
    </row>
    <row r="21" spans="1:5" x14ac:dyDescent="0.3">
      <c r="A21" s="45">
        <f>'Таблица 1'!A15</f>
        <v>0.92700000000000005</v>
      </c>
      <c r="B21" s="12">
        <f>'Таблица 1'!B18</f>
        <v>2.4266666666666667</v>
      </c>
      <c r="C21" s="12">
        <f>'Параметры установки'!$A$2*2/B21/B21</f>
        <v>0.23774302620456464</v>
      </c>
      <c r="D21" s="12">
        <f>2*C21/'Параметры установки'!$B$2</f>
        <v>10.336653313241941</v>
      </c>
      <c r="E21" s="12">
        <f>$A$21*'Параметры установки'!$B$2/2*(9.8-C21)</f>
        <v>0.20387688093829251</v>
      </c>
    </row>
    <row r="22" spans="1:5" x14ac:dyDescent="0.3">
      <c r="A22" s="45"/>
      <c r="B22" s="12">
        <f>'Таблица 1'!C18</f>
        <v>2.72</v>
      </c>
      <c r="C22" s="12">
        <f>'Параметры установки'!$A$2*2/B22/B22</f>
        <v>0.18923010380622834</v>
      </c>
      <c r="D22" s="12">
        <f>2*C22/'Параметры установки'!$B$2</f>
        <v>8.2273958176621029</v>
      </c>
      <c r="E22" s="12">
        <f>$A$21*'Параметры установки'!$B$2/2*(9.8-C22)</f>
        <v>0.20491122495674743</v>
      </c>
    </row>
    <row r="23" spans="1:5" x14ac:dyDescent="0.3">
      <c r="A23" s="45"/>
      <c r="B23" s="12">
        <f>'Таблица 1'!D18</f>
        <v>3.35</v>
      </c>
      <c r="C23" s="12">
        <f>'Параметры установки'!$A$2*2/B23/B23</f>
        <v>0.12474938739140119</v>
      </c>
      <c r="D23" s="12">
        <f>2*C23/'Параметры установки'!$B$2</f>
        <v>5.423886408321791</v>
      </c>
      <c r="E23" s="12">
        <f>$A$21*'Параметры установки'!$B$2/2*(9.8-C23)</f>
        <v>0.20628601831142793</v>
      </c>
    </row>
    <row r="24" spans="1:5" x14ac:dyDescent="0.3">
      <c r="A24" s="45"/>
      <c r="B24" s="12">
        <f>'Таблица 1'!E18</f>
        <v>3.81</v>
      </c>
      <c r="C24" s="12">
        <f>'Параметры установки'!$A$2*2/B24/B24</f>
        <v>9.6444637333719108E-2</v>
      </c>
      <c r="D24" s="12">
        <f>2*C24/'Параметры установки'!$B$2</f>
        <v>4.1932451014660481</v>
      </c>
      <c r="E24" s="12">
        <f>$A$21*'Параметры установки'!$B$2/2*(9.8-C24)</f>
        <v>0.20688950388740782</v>
      </c>
    </row>
    <row r="25" spans="1:5" x14ac:dyDescent="0.3">
      <c r="A25" s="45"/>
      <c r="B25" s="12">
        <f>'Таблица 1'!F18</f>
        <v>4.5633333333333335</v>
      </c>
      <c r="C25" s="12">
        <f>'Параметры установки'!$A$2*2/B25/B25</f>
        <v>6.7230083221238718E-2</v>
      </c>
      <c r="D25" s="12">
        <f>2*C25/'Параметры установки'!$B$2</f>
        <v>2.9230470965755964</v>
      </c>
      <c r="E25" s="12">
        <f>$A$21*'Параметры установки'!$B$2/2*(9.8-C25)</f>
        <v>0.20751238739563999</v>
      </c>
    </row>
    <row r="26" spans="1:5" x14ac:dyDescent="0.3">
      <c r="A26" s="45"/>
      <c r="B26" s="12">
        <f>'Таблица 1'!G18</f>
        <v>4.919999999999999</v>
      </c>
      <c r="C26" s="12">
        <f>'Параметры установки'!$A$2*2/B26/B26</f>
        <v>5.783594421310069E-2</v>
      </c>
      <c r="D26" s="12">
        <f>2*C26/'Параметры установки'!$B$2</f>
        <v>2.5146062701348129</v>
      </c>
      <c r="E26" s="12">
        <f>$A$21*'Параметры установки'!$B$2/2*(9.8-C26)</f>
        <v>0.20771267983343247</v>
      </c>
    </row>
    <row r="36" spans="1:4" x14ac:dyDescent="0.3">
      <c r="A36" t="s">
        <v>83</v>
      </c>
    </row>
    <row r="37" spans="1:4" x14ac:dyDescent="0.3">
      <c r="A37">
        <v>2</v>
      </c>
    </row>
    <row r="38" spans="1:4" x14ac:dyDescent="0.3">
      <c r="A38">
        <v>3</v>
      </c>
    </row>
    <row r="39" spans="1:4" x14ac:dyDescent="0.3">
      <c r="A39">
        <v>4</v>
      </c>
    </row>
    <row r="40" spans="1:4" x14ac:dyDescent="0.3">
      <c r="A40">
        <v>5</v>
      </c>
    </row>
    <row r="41" spans="1:4" x14ac:dyDescent="0.3">
      <c r="A41">
        <v>6</v>
      </c>
    </row>
    <row r="42" spans="1:4" x14ac:dyDescent="0.3">
      <c r="A42">
        <v>7</v>
      </c>
      <c r="D42">
        <v>50.5</v>
      </c>
    </row>
    <row r="43" spans="1:4" x14ac:dyDescent="0.3">
      <c r="A43">
        <v>8</v>
      </c>
    </row>
    <row r="44" spans="1:4" x14ac:dyDescent="0.3">
      <c r="A44">
        <v>9</v>
      </c>
    </row>
    <row r="45" spans="1:4" x14ac:dyDescent="0.3">
      <c r="A45">
        <v>10</v>
      </c>
    </row>
    <row r="46" spans="1:4" x14ac:dyDescent="0.3">
      <c r="A46">
        <v>11</v>
      </c>
    </row>
    <row r="47" spans="1:4" x14ac:dyDescent="0.3">
      <c r="A47">
        <v>12</v>
      </c>
    </row>
    <row r="48" spans="1:4" x14ac:dyDescent="0.3">
      <c r="A48">
        <v>13</v>
      </c>
    </row>
    <row r="49" spans="1:1" x14ac:dyDescent="0.3">
      <c r="A49">
        <v>14</v>
      </c>
    </row>
    <row r="50" spans="1:1" x14ac:dyDescent="0.3">
      <c r="A50">
        <v>15</v>
      </c>
    </row>
    <row r="51" spans="1:1" x14ac:dyDescent="0.3">
      <c r="A51">
        <v>16</v>
      </c>
    </row>
    <row r="52" spans="1:1" x14ac:dyDescent="0.3">
      <c r="A52">
        <v>17</v>
      </c>
    </row>
    <row r="53" spans="1:1" x14ac:dyDescent="0.3">
      <c r="A53">
        <v>18</v>
      </c>
    </row>
    <row r="54" spans="1:1" x14ac:dyDescent="0.3">
      <c r="A54">
        <v>19</v>
      </c>
    </row>
    <row r="55" spans="1:1" x14ac:dyDescent="0.3">
      <c r="A55">
        <v>20</v>
      </c>
    </row>
    <row r="56" spans="1:1" x14ac:dyDescent="0.3">
      <c r="A56">
        <v>21</v>
      </c>
    </row>
    <row r="57" spans="1:1" x14ac:dyDescent="0.3">
      <c r="A57">
        <v>22</v>
      </c>
    </row>
    <row r="58" spans="1:1" x14ac:dyDescent="0.3">
      <c r="A58">
        <v>23</v>
      </c>
    </row>
    <row r="59" spans="1:1" x14ac:dyDescent="0.3">
      <c r="A59">
        <v>24</v>
      </c>
    </row>
    <row r="60" spans="1:1" x14ac:dyDescent="0.3">
      <c r="A60">
        <v>25</v>
      </c>
    </row>
    <row r="61" spans="1:1" x14ac:dyDescent="0.3">
      <c r="A61">
        <v>26</v>
      </c>
    </row>
    <row r="62" spans="1:1" x14ac:dyDescent="0.3">
      <c r="A62">
        <v>27</v>
      </c>
    </row>
    <row r="63" spans="1:1" x14ac:dyDescent="0.3">
      <c r="A63">
        <v>28</v>
      </c>
    </row>
    <row r="64" spans="1:1" x14ac:dyDescent="0.3">
      <c r="A64">
        <v>29</v>
      </c>
    </row>
    <row r="65" spans="1:1" x14ac:dyDescent="0.3">
      <c r="A65">
        <v>30</v>
      </c>
    </row>
    <row r="66" spans="1:1" x14ac:dyDescent="0.3">
      <c r="A66">
        <v>31</v>
      </c>
    </row>
    <row r="67" spans="1:1" x14ac:dyDescent="0.3">
      <c r="A67">
        <v>32</v>
      </c>
    </row>
    <row r="68" spans="1:1" x14ac:dyDescent="0.3">
      <c r="A68">
        <v>33</v>
      </c>
    </row>
    <row r="69" spans="1:1" x14ac:dyDescent="0.3">
      <c r="A69">
        <v>34</v>
      </c>
    </row>
    <row r="70" spans="1:1" x14ac:dyDescent="0.3">
      <c r="A70">
        <v>35</v>
      </c>
    </row>
    <row r="71" spans="1:1" x14ac:dyDescent="0.3">
      <c r="A71">
        <v>36</v>
      </c>
    </row>
    <row r="72" spans="1:1" x14ac:dyDescent="0.3">
      <c r="A72">
        <v>37</v>
      </c>
    </row>
    <row r="73" spans="1:1" x14ac:dyDescent="0.3">
      <c r="A73">
        <v>38</v>
      </c>
    </row>
    <row r="74" spans="1:1" x14ac:dyDescent="0.3">
      <c r="A74">
        <v>39</v>
      </c>
    </row>
    <row r="75" spans="1:1" x14ac:dyDescent="0.3">
      <c r="A75">
        <v>40</v>
      </c>
    </row>
    <row r="76" spans="1:1" x14ac:dyDescent="0.3">
      <c r="A76">
        <v>41</v>
      </c>
    </row>
    <row r="77" spans="1:1" x14ac:dyDescent="0.3">
      <c r="A77">
        <v>42</v>
      </c>
    </row>
    <row r="78" spans="1:1" x14ac:dyDescent="0.3">
      <c r="A78">
        <v>43</v>
      </c>
    </row>
    <row r="79" spans="1:1" x14ac:dyDescent="0.3">
      <c r="A79">
        <v>44</v>
      </c>
    </row>
    <row r="80" spans="1:1" x14ac:dyDescent="0.3">
      <c r="A80">
        <v>45</v>
      </c>
    </row>
    <row r="81" spans="1:1" x14ac:dyDescent="0.3">
      <c r="A81">
        <v>46</v>
      </c>
    </row>
    <row r="82" spans="1:1" x14ac:dyDescent="0.3">
      <c r="A82">
        <v>47</v>
      </c>
    </row>
    <row r="83" spans="1:1" x14ac:dyDescent="0.3">
      <c r="A83">
        <v>48</v>
      </c>
    </row>
    <row r="84" spans="1:1" x14ac:dyDescent="0.3">
      <c r="A84">
        <v>49</v>
      </c>
    </row>
    <row r="85" spans="1:1" x14ac:dyDescent="0.3">
      <c r="A85">
        <v>50</v>
      </c>
    </row>
    <row r="86" spans="1:1" x14ac:dyDescent="0.3">
      <c r="A86">
        <v>51</v>
      </c>
    </row>
    <row r="87" spans="1:1" x14ac:dyDescent="0.3">
      <c r="A87">
        <v>52</v>
      </c>
    </row>
    <row r="88" spans="1:1" x14ac:dyDescent="0.3">
      <c r="A88">
        <v>53</v>
      </c>
    </row>
    <row r="89" spans="1:1" x14ac:dyDescent="0.3">
      <c r="A89">
        <v>54</v>
      </c>
    </row>
    <row r="90" spans="1:1" x14ac:dyDescent="0.3">
      <c r="A90">
        <v>55</v>
      </c>
    </row>
    <row r="91" spans="1:1" x14ac:dyDescent="0.3">
      <c r="A91">
        <v>56</v>
      </c>
    </row>
    <row r="92" spans="1:1" x14ac:dyDescent="0.3">
      <c r="A92">
        <v>57</v>
      </c>
    </row>
    <row r="93" spans="1:1" x14ac:dyDescent="0.3">
      <c r="A93">
        <v>58</v>
      </c>
    </row>
    <row r="94" spans="1:1" x14ac:dyDescent="0.3">
      <c r="A94">
        <v>59</v>
      </c>
    </row>
    <row r="95" spans="1:1" x14ac:dyDescent="0.3">
      <c r="A95">
        <v>60</v>
      </c>
    </row>
    <row r="96" spans="1:1" x14ac:dyDescent="0.3">
      <c r="A96">
        <v>61</v>
      </c>
    </row>
    <row r="97" spans="1:1" x14ac:dyDescent="0.3">
      <c r="A97">
        <v>62</v>
      </c>
    </row>
    <row r="98" spans="1:1" x14ac:dyDescent="0.3">
      <c r="A98">
        <v>63</v>
      </c>
    </row>
    <row r="99" spans="1:1" x14ac:dyDescent="0.3">
      <c r="A99">
        <v>64</v>
      </c>
    </row>
    <row r="100" spans="1:1" x14ac:dyDescent="0.3">
      <c r="A100">
        <v>65</v>
      </c>
    </row>
    <row r="101" spans="1:1" x14ac:dyDescent="0.3">
      <c r="A101">
        <v>66</v>
      </c>
    </row>
    <row r="102" spans="1:1" x14ac:dyDescent="0.3">
      <c r="A102">
        <v>67</v>
      </c>
    </row>
    <row r="103" spans="1:1" x14ac:dyDescent="0.3">
      <c r="A103">
        <v>68</v>
      </c>
    </row>
    <row r="104" spans="1:1" x14ac:dyDescent="0.3">
      <c r="A104">
        <v>69</v>
      </c>
    </row>
    <row r="105" spans="1:1" x14ac:dyDescent="0.3">
      <c r="A105">
        <v>70</v>
      </c>
    </row>
    <row r="106" spans="1:1" x14ac:dyDescent="0.3">
      <c r="A106">
        <v>71</v>
      </c>
    </row>
    <row r="107" spans="1:1" x14ac:dyDescent="0.3">
      <c r="A107">
        <v>72</v>
      </c>
    </row>
    <row r="108" spans="1:1" x14ac:dyDescent="0.3">
      <c r="A108">
        <v>73</v>
      </c>
    </row>
    <row r="109" spans="1:1" x14ac:dyDescent="0.3">
      <c r="A109">
        <v>74</v>
      </c>
    </row>
    <row r="110" spans="1:1" x14ac:dyDescent="0.3">
      <c r="A110">
        <v>75</v>
      </c>
    </row>
    <row r="111" spans="1:1" x14ac:dyDescent="0.3">
      <c r="A111">
        <v>76</v>
      </c>
    </row>
    <row r="112" spans="1:1" x14ac:dyDescent="0.3">
      <c r="A112">
        <v>77</v>
      </c>
    </row>
    <row r="113" spans="1:1" x14ac:dyDescent="0.3">
      <c r="A113">
        <v>78</v>
      </c>
    </row>
    <row r="114" spans="1:1" x14ac:dyDescent="0.3">
      <c r="A114">
        <v>79</v>
      </c>
    </row>
    <row r="115" spans="1:1" x14ac:dyDescent="0.3">
      <c r="A115">
        <v>80</v>
      </c>
    </row>
    <row r="116" spans="1:1" x14ac:dyDescent="0.3">
      <c r="A116">
        <v>81</v>
      </c>
    </row>
    <row r="117" spans="1:1" x14ac:dyDescent="0.3">
      <c r="A117">
        <v>82</v>
      </c>
    </row>
    <row r="118" spans="1:1" x14ac:dyDescent="0.3">
      <c r="A118">
        <v>83</v>
      </c>
    </row>
    <row r="119" spans="1:1" x14ac:dyDescent="0.3">
      <c r="A119">
        <v>84</v>
      </c>
    </row>
    <row r="120" spans="1:1" x14ac:dyDescent="0.3">
      <c r="A120">
        <v>85</v>
      </c>
    </row>
    <row r="121" spans="1:1" x14ac:dyDescent="0.3">
      <c r="A121">
        <v>86</v>
      </c>
    </row>
    <row r="122" spans="1:1" x14ac:dyDescent="0.3">
      <c r="A122">
        <v>87</v>
      </c>
    </row>
    <row r="123" spans="1:1" x14ac:dyDescent="0.3">
      <c r="A123">
        <v>88</v>
      </c>
    </row>
    <row r="124" spans="1:1" x14ac:dyDescent="0.3">
      <c r="A124">
        <v>89</v>
      </c>
    </row>
    <row r="125" spans="1:1" x14ac:dyDescent="0.3">
      <c r="A125">
        <v>90</v>
      </c>
    </row>
    <row r="126" spans="1:1" x14ac:dyDescent="0.3">
      <c r="A126">
        <v>91</v>
      </c>
    </row>
    <row r="127" spans="1:1" x14ac:dyDescent="0.3">
      <c r="A127">
        <v>92</v>
      </c>
    </row>
    <row r="128" spans="1:1" x14ac:dyDescent="0.3">
      <c r="A128">
        <v>93</v>
      </c>
    </row>
    <row r="129" spans="1:1" x14ac:dyDescent="0.3">
      <c r="A129">
        <v>94</v>
      </c>
    </row>
    <row r="130" spans="1:1" x14ac:dyDescent="0.3">
      <c r="A130">
        <v>95</v>
      </c>
    </row>
    <row r="131" spans="1:1" x14ac:dyDescent="0.3">
      <c r="A131">
        <v>96</v>
      </c>
    </row>
    <row r="132" spans="1:1" x14ac:dyDescent="0.3">
      <c r="A132">
        <v>97</v>
      </c>
    </row>
    <row r="133" spans="1:1" x14ac:dyDescent="0.3">
      <c r="A133">
        <v>98</v>
      </c>
    </row>
    <row r="134" spans="1:1" x14ac:dyDescent="0.3">
      <c r="A134">
        <v>99</v>
      </c>
    </row>
    <row r="135" spans="1:1" x14ac:dyDescent="0.3">
      <c r="A135">
        <v>100</v>
      </c>
    </row>
    <row r="136" spans="1:1" x14ac:dyDescent="0.3">
      <c r="A136">
        <f>AVERAGE(A36:A45)</f>
        <v>6</v>
      </c>
    </row>
    <row r="137" spans="1:1" x14ac:dyDescent="0.3">
      <c r="A137">
        <f>AVERAGE(A46:A55)</f>
        <v>15.5</v>
      </c>
    </row>
    <row r="138" spans="1:1" x14ac:dyDescent="0.3">
      <c r="A138">
        <f>AVERAGE(A56:A65)</f>
        <v>25.5</v>
      </c>
    </row>
    <row r="139" spans="1:1" x14ac:dyDescent="0.3">
      <c r="A139">
        <f>AVERAGE(A66:A75)</f>
        <v>35.5</v>
      </c>
    </row>
    <row r="140" spans="1:1" x14ac:dyDescent="0.3">
      <c r="A140">
        <v>45.5</v>
      </c>
    </row>
    <row r="141" spans="1:1" x14ac:dyDescent="0.3">
      <c r="A141">
        <v>55.5</v>
      </c>
    </row>
    <row r="142" spans="1:1" x14ac:dyDescent="0.3">
      <c r="A142">
        <v>65.5</v>
      </c>
    </row>
    <row r="143" spans="1:1" x14ac:dyDescent="0.3">
      <c r="A143">
        <v>75.5</v>
      </c>
    </row>
    <row r="144" spans="1:1" x14ac:dyDescent="0.3">
      <c r="A144">
        <v>85.5</v>
      </c>
    </row>
    <row r="145" spans="1:1" x14ac:dyDescent="0.3">
      <c r="A145">
        <v>95.5</v>
      </c>
    </row>
  </sheetData>
  <mergeCells count="4">
    <mergeCell ref="A21:A26"/>
    <mergeCell ref="A3:A8"/>
    <mergeCell ref="A9:A14"/>
    <mergeCell ref="A15:A20"/>
  </mergeCells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4"/>
  <sheetViews>
    <sheetView topLeftCell="A2" workbookViewId="0">
      <selection activeCell="A2" sqref="A2:G4"/>
    </sheetView>
  </sheetViews>
  <sheetFormatPr defaultRowHeight="14.4" x14ac:dyDescent="0.3"/>
  <cols>
    <col min="1" max="1" width="12.88671875" bestFit="1" customWidth="1"/>
  </cols>
  <sheetData>
    <row r="1" spans="1:7" ht="28.8" x14ac:dyDescent="0.3">
      <c r="A1" s="29" t="s">
        <v>51</v>
      </c>
      <c r="B1" s="29">
        <v>1</v>
      </c>
      <c r="C1" s="29">
        <v>2</v>
      </c>
      <c r="D1" s="29">
        <v>3</v>
      </c>
      <c r="E1" s="29">
        <v>4</v>
      </c>
      <c r="F1" s="29">
        <v>5</v>
      </c>
      <c r="G1" s="29">
        <v>6</v>
      </c>
    </row>
    <row r="2" spans="1:7" x14ac:dyDescent="0.3">
      <c r="A2" s="29" t="s">
        <v>52</v>
      </c>
      <c r="B2" s="2">
        <f>'Параметры установки'!$C$2+(B1-1)*'Параметры установки'!$D$2+'Параметры установки'!$E$2/2</f>
        <v>7.6999999999999999E-2</v>
      </c>
      <c r="C2" s="2">
        <f>'Параметры установки'!$C$2+(C1-1)*'Параметры установки'!$D$2+'Параметры установки'!$E$2/2</f>
        <v>0.10200000000000001</v>
      </c>
      <c r="D2" s="2">
        <f>'Параметры установки'!$C$2+(D1-1)*'Параметры установки'!$D$2+'Параметры установки'!$E$2/2</f>
        <v>0.127</v>
      </c>
      <c r="E2" s="2">
        <f>'Параметры установки'!$C$2+(E1-1)*'Параметры установки'!$D$2+'Параметры установки'!$E$2/2</f>
        <v>0.152</v>
      </c>
      <c r="F2" s="2">
        <f>'Параметры установки'!$C$2+(F1-1)*'Параметры установки'!$D$2+'Параметры установки'!$E$2/2</f>
        <v>0.17699999999999999</v>
      </c>
      <c r="G2" s="2">
        <f>'Параметры установки'!$C$2+(G1-1)*'Параметры установки'!$D$2+'Параметры установки'!$E$2/2</f>
        <v>0.20199999999999999</v>
      </c>
    </row>
    <row r="3" spans="1:7" ht="16.2" x14ac:dyDescent="0.3">
      <c r="A3" s="29" t="s">
        <v>53</v>
      </c>
      <c r="B3" s="2">
        <f>B2*B2</f>
        <v>5.9290000000000002E-3</v>
      </c>
      <c r="C3" s="2">
        <f t="shared" ref="C3:G3" si="0">C2*C2</f>
        <v>1.0404000000000002E-2</v>
      </c>
      <c r="D3" s="2">
        <f t="shared" si="0"/>
        <v>1.6129000000000001E-2</v>
      </c>
      <c r="E3" s="2">
        <f t="shared" si="0"/>
        <v>2.3104E-2</v>
      </c>
      <c r="F3" s="2">
        <f t="shared" si="0"/>
        <v>3.1328999999999996E-2</v>
      </c>
      <c r="G3" s="2">
        <f t="shared" si="0"/>
        <v>4.0803999999999993E-2</v>
      </c>
    </row>
    <row r="4" spans="1:7" x14ac:dyDescent="0.3">
      <c r="A4" s="29" t="s">
        <v>54</v>
      </c>
      <c r="B4" s="12">
        <f>'МНК рис.1'!N2</f>
        <v>1.9940620739068802E-2</v>
      </c>
      <c r="C4" s="12">
        <f>'МНК рис.2'!N2</f>
        <v>2.3471096415975178E-2</v>
      </c>
      <c r="D4" s="12">
        <f>'МНК рис.3'!N2</f>
        <v>3.810245923233882E-2</v>
      </c>
      <c r="E4" s="12">
        <f>'МНК рис.4'!N2</f>
        <v>4.7334343818490665E-2</v>
      </c>
      <c r="F4" s="12">
        <f>'МНК рис.5'!N2</f>
        <v>7.0460298011761416E-2</v>
      </c>
      <c r="G4" s="12">
        <f>'МНК рис.6'!N2</f>
        <v>7.9486642958391418E-2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"/>
  <sheetViews>
    <sheetView zoomScale="50" zoomScaleNormal="100" workbookViewId="0">
      <selection activeCell="R24" sqref="R24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"/>
  <sheetViews>
    <sheetView zoomScale="70" workbookViewId="0">
      <selection sqref="A1:A1048576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499984740745262"/>
  </sheetPr>
  <dimension ref="A1:G51"/>
  <sheetViews>
    <sheetView topLeftCell="A31" workbookViewId="0">
      <selection activeCell="I35" sqref="I35"/>
    </sheetView>
  </sheetViews>
  <sheetFormatPr defaultRowHeight="14.4" x14ac:dyDescent="0.3"/>
  <cols>
    <col min="1" max="1" width="14.33203125" customWidth="1"/>
    <col min="2" max="2" width="11" customWidth="1"/>
    <col min="3" max="3" width="11.33203125" customWidth="1"/>
    <col min="4" max="4" width="10.6640625" customWidth="1"/>
    <col min="5" max="5" width="10" customWidth="1"/>
    <col min="6" max="6" width="10.33203125" customWidth="1"/>
    <col min="7" max="7" width="13.44140625" customWidth="1"/>
  </cols>
  <sheetData>
    <row r="1" spans="1:7" ht="47.4" customHeight="1" x14ac:dyDescent="0.3">
      <c r="A1" s="47" t="s">
        <v>62</v>
      </c>
      <c r="B1" s="47"/>
      <c r="C1" s="47"/>
      <c r="D1" s="47"/>
      <c r="E1" s="47"/>
      <c r="F1" s="47"/>
      <c r="G1" s="47"/>
    </row>
    <row r="2" spans="1:7" x14ac:dyDescent="0.3">
      <c r="A2" s="56" t="s">
        <v>65</v>
      </c>
      <c r="B2" s="49" t="s">
        <v>1</v>
      </c>
      <c r="C2" s="50"/>
      <c r="D2" s="50"/>
      <c r="E2" s="50"/>
      <c r="F2" s="50"/>
      <c r="G2" s="51"/>
    </row>
    <row r="3" spans="1:7" x14ac:dyDescent="0.3">
      <c r="A3" s="57"/>
      <c r="B3" s="35" t="s">
        <v>2</v>
      </c>
      <c r="C3" s="35" t="s">
        <v>3</v>
      </c>
      <c r="D3" s="35" t="s">
        <v>4</v>
      </c>
      <c r="E3" s="35" t="s">
        <v>5</v>
      </c>
      <c r="F3" s="35" t="s">
        <v>6</v>
      </c>
      <c r="G3" s="35" t="s">
        <v>7</v>
      </c>
    </row>
    <row r="4" spans="1:7" x14ac:dyDescent="0.3">
      <c r="A4" s="52">
        <f>0.047+0.22</f>
        <v>0.26700000000000002</v>
      </c>
      <c r="B4" s="36">
        <v>4.2</v>
      </c>
      <c r="C4" s="36">
        <v>4.97</v>
      </c>
      <c r="D4" s="36">
        <v>6</v>
      </c>
      <c r="E4" s="36">
        <v>6.86</v>
      </c>
      <c r="F4" s="36">
        <v>7.78</v>
      </c>
      <c r="G4" s="36">
        <v>8.8800000000000008</v>
      </c>
    </row>
    <row r="5" spans="1:7" x14ac:dyDescent="0.3">
      <c r="A5" s="53"/>
      <c r="B5" s="36">
        <v>4.3</v>
      </c>
      <c r="C5" s="36">
        <v>4.87</v>
      </c>
      <c r="D5" s="36">
        <v>5.93</v>
      </c>
      <c r="E5" s="36">
        <v>6.87</v>
      </c>
      <c r="F5" s="36">
        <v>7.8</v>
      </c>
      <c r="G5" s="36">
        <v>8.94</v>
      </c>
    </row>
    <row r="6" spans="1:7" x14ac:dyDescent="0.3">
      <c r="A6" s="53"/>
      <c r="B6" s="36">
        <v>4.3600000000000003</v>
      </c>
      <c r="C6" s="36">
        <v>4.95</v>
      </c>
      <c r="D6" s="36">
        <v>6.04</v>
      </c>
      <c r="E6" s="36">
        <v>6.96</v>
      </c>
      <c r="F6" s="36">
        <v>7.91</v>
      </c>
      <c r="G6" s="36">
        <v>9.02</v>
      </c>
    </row>
    <row r="7" spans="1:7" x14ac:dyDescent="0.3">
      <c r="A7" s="54"/>
      <c r="B7" s="36">
        <f>SUM(B4:B6)/3</f>
        <v>4.2866666666666662</v>
      </c>
      <c r="C7" s="36">
        <f t="shared" ref="C7:G7" si="0">SUM(C4:C6)/3</f>
        <v>4.93</v>
      </c>
      <c r="D7" s="36">
        <f t="shared" si="0"/>
        <v>5.9899999999999993</v>
      </c>
      <c r="E7" s="36">
        <f t="shared" si="0"/>
        <v>6.8966666666666674</v>
      </c>
      <c r="F7" s="36">
        <f t="shared" si="0"/>
        <v>7.830000000000001</v>
      </c>
      <c r="G7" s="36">
        <f t="shared" si="0"/>
        <v>8.9466666666666672</v>
      </c>
    </row>
    <row r="8" spans="1:7" x14ac:dyDescent="0.3">
      <c r="A8" s="52">
        <f>0.047+0.22*2</f>
        <v>0.48699999999999999</v>
      </c>
      <c r="B8" s="36">
        <v>3.27</v>
      </c>
      <c r="C8" s="36">
        <v>3.52</v>
      </c>
      <c r="D8" s="36">
        <v>4.3600000000000003</v>
      </c>
      <c r="E8" s="36">
        <v>4.99</v>
      </c>
      <c r="F8" s="36">
        <v>5.67</v>
      </c>
      <c r="G8" s="36">
        <v>6.36</v>
      </c>
    </row>
    <row r="9" spans="1:7" x14ac:dyDescent="0.3">
      <c r="A9" s="53"/>
      <c r="B9" s="36">
        <v>3.18</v>
      </c>
      <c r="C9" s="36">
        <v>3.63</v>
      </c>
      <c r="D9" s="36">
        <v>4.3499999999999996</v>
      </c>
      <c r="E9" s="36">
        <v>5.0199999999999996</v>
      </c>
      <c r="F9" s="36">
        <v>5.74</v>
      </c>
      <c r="G9" s="36">
        <v>6.39</v>
      </c>
    </row>
    <row r="10" spans="1:7" x14ac:dyDescent="0.3">
      <c r="A10" s="53"/>
      <c r="B10" s="36">
        <v>3.13</v>
      </c>
      <c r="C10" s="36">
        <v>3.64</v>
      </c>
      <c r="D10" s="36">
        <v>4.17</v>
      </c>
      <c r="E10" s="36">
        <v>4.96</v>
      </c>
      <c r="F10" s="36">
        <v>5.65</v>
      </c>
      <c r="G10" s="36">
        <v>6.37</v>
      </c>
    </row>
    <row r="11" spans="1:7" x14ac:dyDescent="0.3">
      <c r="A11" s="54"/>
      <c r="B11" s="36">
        <f>SUM(B8:B10)/3</f>
        <v>3.1933333333333334</v>
      </c>
      <c r="C11" s="36">
        <f t="shared" ref="C11:G11" si="1">SUM(C8:C10)/3</f>
        <v>3.5966666666666671</v>
      </c>
      <c r="D11" s="36">
        <f t="shared" si="1"/>
        <v>4.2933333333333339</v>
      </c>
      <c r="E11" s="36">
        <f t="shared" si="1"/>
        <v>4.9899999999999993</v>
      </c>
      <c r="F11" s="36">
        <f t="shared" si="1"/>
        <v>5.6866666666666674</v>
      </c>
      <c r="G11" s="36">
        <f t="shared" si="1"/>
        <v>6.373333333333334</v>
      </c>
    </row>
    <row r="12" spans="1:7" x14ac:dyDescent="0.3">
      <c r="A12" s="52">
        <f>0.047+0.22*3</f>
        <v>0.70700000000000007</v>
      </c>
      <c r="B12" s="36">
        <v>2.5099999999999998</v>
      </c>
      <c r="C12" s="36">
        <v>2.94</v>
      </c>
      <c r="D12" s="36">
        <v>3.45</v>
      </c>
      <c r="E12" s="36">
        <v>4.1399999999999997</v>
      </c>
      <c r="F12" s="36">
        <v>4.6399999999999997</v>
      </c>
      <c r="G12" s="36">
        <v>5.24</v>
      </c>
    </row>
    <row r="13" spans="1:7" x14ac:dyDescent="0.3">
      <c r="A13" s="53"/>
      <c r="B13" s="36">
        <v>2.56</v>
      </c>
      <c r="C13" s="36">
        <v>2.93</v>
      </c>
      <c r="D13" s="36">
        <v>3.55</v>
      </c>
      <c r="E13" s="36">
        <v>4.08</v>
      </c>
      <c r="F13" s="36">
        <v>4.75</v>
      </c>
      <c r="G13" s="36">
        <v>5.27</v>
      </c>
    </row>
    <row r="14" spans="1:7" x14ac:dyDescent="0.3">
      <c r="A14" s="53"/>
      <c r="B14" s="36">
        <v>2.5299999999999998</v>
      </c>
      <c r="C14" s="36">
        <v>3.02</v>
      </c>
      <c r="D14" s="36">
        <v>3.49</v>
      </c>
      <c r="E14" s="36">
        <v>4.07</v>
      </c>
      <c r="F14" s="36">
        <v>4.62</v>
      </c>
      <c r="G14" s="36">
        <v>5.28</v>
      </c>
    </row>
    <row r="15" spans="1:7" x14ac:dyDescent="0.3">
      <c r="A15" s="54"/>
      <c r="B15" s="36">
        <f>SUM(B12:B14)/3</f>
        <v>2.5333333333333332</v>
      </c>
      <c r="C15" s="36">
        <f t="shared" ref="C15" si="2">SUM(C12:C14)/3</f>
        <v>2.9633333333333334</v>
      </c>
      <c r="D15" s="36">
        <f t="shared" ref="D15:G15" si="3">SUM(D12:D14)/3</f>
        <v>3.4966666666666666</v>
      </c>
      <c r="E15" s="36">
        <f t="shared" si="3"/>
        <v>4.0966666666666667</v>
      </c>
      <c r="F15" s="36">
        <f t="shared" si="3"/>
        <v>4.6700000000000008</v>
      </c>
      <c r="G15" s="36">
        <f t="shared" si="3"/>
        <v>5.2633333333333328</v>
      </c>
    </row>
    <row r="16" spans="1:7" x14ac:dyDescent="0.3">
      <c r="A16" s="52">
        <f>0.047+0.22*4</f>
        <v>0.92700000000000005</v>
      </c>
      <c r="B16" s="36">
        <v>2.23</v>
      </c>
      <c r="C16" s="36">
        <v>2.59</v>
      </c>
      <c r="D16" s="36">
        <v>3.1</v>
      </c>
      <c r="E16" s="36">
        <v>3.55</v>
      </c>
      <c r="F16" s="36">
        <v>4.0599999999999996</v>
      </c>
      <c r="G16" s="36">
        <v>4.6100000000000003</v>
      </c>
    </row>
    <row r="17" spans="1:7" x14ac:dyDescent="0.3">
      <c r="A17" s="53"/>
      <c r="B17" s="36">
        <v>2.23</v>
      </c>
      <c r="C17" s="36">
        <v>2.59</v>
      </c>
      <c r="D17" s="36">
        <v>3.06</v>
      </c>
      <c r="E17" s="36">
        <v>3.56</v>
      </c>
      <c r="F17" s="36">
        <v>4.01</v>
      </c>
      <c r="G17" s="36">
        <v>4.5599999999999996</v>
      </c>
    </row>
    <row r="18" spans="1:7" x14ac:dyDescent="0.3">
      <c r="A18" s="53"/>
      <c r="B18" s="36">
        <v>2.12</v>
      </c>
      <c r="C18" s="36">
        <v>2.46</v>
      </c>
      <c r="D18" s="36">
        <v>3.09</v>
      </c>
      <c r="E18" s="36">
        <v>3.58</v>
      </c>
      <c r="F18" s="36">
        <v>4.07</v>
      </c>
      <c r="G18" s="36">
        <v>4.68</v>
      </c>
    </row>
    <row r="19" spans="1:7" x14ac:dyDescent="0.3">
      <c r="A19" s="54"/>
      <c r="B19" s="36">
        <f>SUM(B16:B18)/3</f>
        <v>2.1933333333333334</v>
      </c>
      <c r="C19" s="36">
        <f t="shared" ref="C19" si="4">SUM(C16:C18)/3</f>
        <v>2.5466666666666664</v>
      </c>
      <c r="D19" s="36">
        <f t="shared" ref="D19:G19" si="5">SUM(D16:D18)/3</f>
        <v>3.0833333333333335</v>
      </c>
      <c r="E19" s="36">
        <f t="shared" si="5"/>
        <v>3.563333333333333</v>
      </c>
      <c r="F19" s="36">
        <f t="shared" si="5"/>
        <v>4.0466666666666669</v>
      </c>
      <c r="G19" s="36">
        <f t="shared" si="5"/>
        <v>4.6166666666666663</v>
      </c>
    </row>
    <row r="20" spans="1:7" ht="41.4" customHeight="1" x14ac:dyDescent="0.3">
      <c r="A20" s="47" t="s">
        <v>63</v>
      </c>
      <c r="B20" s="47"/>
      <c r="C20" s="47"/>
      <c r="D20" s="47"/>
      <c r="E20" s="47"/>
      <c r="F20" s="37"/>
      <c r="G20" s="37"/>
    </row>
    <row r="21" spans="1:7" ht="15.6" x14ac:dyDescent="0.35">
      <c r="A21" s="35" t="s">
        <v>65</v>
      </c>
      <c r="B21" s="38" t="s">
        <v>67</v>
      </c>
      <c r="C21" s="39" t="s">
        <v>68</v>
      </c>
      <c r="D21" s="40" t="s">
        <v>69</v>
      </c>
      <c r="E21" s="41" t="s">
        <v>11</v>
      </c>
      <c r="F21" s="37"/>
      <c r="G21" s="37"/>
    </row>
    <row r="22" spans="1:7" x14ac:dyDescent="0.3">
      <c r="A22" s="52">
        <v>0.26700000000000002</v>
      </c>
      <c r="B22" s="36">
        <v>4.2866666666666662</v>
      </c>
      <c r="C22" s="36">
        <v>7.6188356967848536E-2</v>
      </c>
      <c r="D22" s="36">
        <v>3.3125372594716755</v>
      </c>
      <c r="E22" s="36">
        <v>5.9713927299860449E-2</v>
      </c>
      <c r="F22" s="37"/>
      <c r="G22" s="37"/>
    </row>
    <row r="23" spans="1:7" x14ac:dyDescent="0.3">
      <c r="A23" s="53"/>
      <c r="B23" s="36">
        <v>4.93</v>
      </c>
      <c r="C23" s="36">
        <v>5.7601553596188425E-2</v>
      </c>
      <c r="D23" s="36">
        <v>2.5044153737473227</v>
      </c>
      <c r="E23" s="36">
        <v>5.982806885936582E-2</v>
      </c>
      <c r="F23" s="37"/>
      <c r="G23" s="37"/>
    </row>
    <row r="24" spans="1:7" x14ac:dyDescent="0.3">
      <c r="A24" s="53"/>
      <c r="B24" s="36">
        <v>5.9899999999999993</v>
      </c>
      <c r="C24" s="36">
        <v>3.901884331426056E-2</v>
      </c>
      <c r="D24" s="36">
        <v>1.6964714484461114</v>
      </c>
      <c r="E24" s="36">
        <v>5.994218528320714E-2</v>
      </c>
      <c r="F24" s="37"/>
      <c r="G24" s="37"/>
    </row>
    <row r="25" spans="1:7" x14ac:dyDescent="0.3">
      <c r="A25" s="53"/>
      <c r="B25" s="36">
        <v>6.8966666666666674</v>
      </c>
      <c r="C25" s="36">
        <v>2.9434018857861947E-2</v>
      </c>
      <c r="D25" s="36">
        <v>1.2797399503418239</v>
      </c>
      <c r="E25" s="36">
        <v>6.0001045690193884E-2</v>
      </c>
      <c r="F25" s="37"/>
      <c r="G25" s="37"/>
    </row>
    <row r="26" spans="1:7" x14ac:dyDescent="0.3">
      <c r="A26" s="53"/>
      <c r="B26" s="36">
        <v>7.830000000000001</v>
      </c>
      <c r="C26" s="36">
        <v>2.2835183798763304E-2</v>
      </c>
      <c r="D26" s="36">
        <v>0.99283407820710023</v>
      </c>
      <c r="E26" s="36">
        <v>6.0041569136291807E-2</v>
      </c>
      <c r="F26" s="37"/>
      <c r="G26" s="37"/>
    </row>
    <row r="27" spans="1:7" x14ac:dyDescent="0.3">
      <c r="A27" s="54"/>
      <c r="B27" s="36">
        <v>8.9466666666666672</v>
      </c>
      <c r="C27" s="36">
        <v>1.7490632794436755E-2</v>
      </c>
      <c r="D27" s="36">
        <v>0.76046229541029375</v>
      </c>
      <c r="E27" s="36">
        <v>6.0074390024009376E-2</v>
      </c>
      <c r="F27" s="37"/>
      <c r="G27" s="37"/>
    </row>
    <row r="28" spans="1:7" x14ac:dyDescent="0.3">
      <c r="A28" s="52">
        <v>0.48699999999999999</v>
      </c>
      <c r="B28" s="36">
        <v>3.1933333333333334</v>
      </c>
      <c r="C28" s="36">
        <v>0.13729019660827838</v>
      </c>
      <c r="D28" s="36">
        <v>5.9691389829686248</v>
      </c>
      <c r="E28" s="36">
        <v>0.10823201250779067</v>
      </c>
      <c r="F28" s="37"/>
      <c r="G28" s="37"/>
    </row>
    <row r="29" spans="1:7" x14ac:dyDescent="0.3">
      <c r="A29" s="53"/>
      <c r="B29" s="36">
        <v>3.5966666666666671</v>
      </c>
      <c r="C29" s="36">
        <v>0.10822501526745747</v>
      </c>
      <c r="D29" s="36">
        <v>4.7054354464111947</v>
      </c>
      <c r="E29" s="36">
        <v>0.10855757160398921</v>
      </c>
      <c r="F29" s="37"/>
      <c r="G29" s="37"/>
    </row>
    <row r="30" spans="1:7" x14ac:dyDescent="0.3">
      <c r="A30" s="53"/>
      <c r="B30" s="36">
        <v>4.2933333333333339</v>
      </c>
      <c r="C30" s="36">
        <v>7.5951930866864678E-2</v>
      </c>
      <c r="D30" s="36">
        <v>3.3022578637767253</v>
      </c>
      <c r="E30" s="36">
        <v>0.10891906242236025</v>
      </c>
      <c r="F30" s="37"/>
      <c r="G30" s="37"/>
    </row>
    <row r="31" spans="1:7" x14ac:dyDescent="0.3">
      <c r="A31" s="53"/>
      <c r="B31" s="36">
        <v>4.9899999999999993</v>
      </c>
      <c r="C31" s="36">
        <v>5.6224673796490786E-2</v>
      </c>
      <c r="D31" s="36">
        <v>2.4445510346300341</v>
      </c>
      <c r="E31" s="36">
        <v>0.10914002742880551</v>
      </c>
      <c r="F31" s="37"/>
      <c r="G31" s="37"/>
    </row>
    <row r="32" spans="1:7" x14ac:dyDescent="0.3">
      <c r="A32" s="53"/>
      <c r="B32" s="36">
        <v>5.6866666666666674</v>
      </c>
      <c r="C32" s="36">
        <v>4.3292482638340082E-2</v>
      </c>
      <c r="D32" s="36">
        <v>1.8822818538408732</v>
      </c>
      <c r="E32" s="36">
        <v>0.10928488090196795</v>
      </c>
      <c r="F32" s="37"/>
      <c r="G32" s="37"/>
    </row>
    <row r="33" spans="1:7" x14ac:dyDescent="0.3">
      <c r="A33" s="54"/>
      <c r="B33" s="36">
        <v>6.373333333333334</v>
      </c>
      <c r="C33" s="36">
        <v>3.4466308362948818E-2</v>
      </c>
      <c r="D33" s="36">
        <v>1.4985351462151659</v>
      </c>
      <c r="E33" s="36">
        <v>0.1093837428800266</v>
      </c>
      <c r="F33" s="37"/>
      <c r="G33" s="37"/>
    </row>
    <row r="34" spans="1:7" x14ac:dyDescent="0.3">
      <c r="A34" s="52">
        <v>0.70700000000000007</v>
      </c>
      <c r="B34" s="36">
        <v>2.5333333333333332</v>
      </c>
      <c r="C34" s="36">
        <v>0.21814404432132964</v>
      </c>
      <c r="D34" s="36">
        <v>9.4845236661447672</v>
      </c>
      <c r="E34" s="36">
        <v>0.1558105596952909</v>
      </c>
      <c r="F34" s="37"/>
      <c r="G34" s="37"/>
    </row>
    <row r="35" spans="1:7" x14ac:dyDescent="0.3">
      <c r="A35" s="53"/>
      <c r="B35" s="36">
        <v>2.9633333333333334</v>
      </c>
      <c r="C35" s="36">
        <v>0.15942889028635199</v>
      </c>
      <c r="D35" s="36">
        <v>6.931690882015304</v>
      </c>
      <c r="E35" s="36">
        <v>0.15676532681505367</v>
      </c>
      <c r="F35" s="37"/>
      <c r="G35" s="37"/>
    </row>
    <row r="36" spans="1:7" x14ac:dyDescent="0.3">
      <c r="A36" s="53"/>
      <c r="B36" s="36">
        <v>3.4966666666666666</v>
      </c>
      <c r="C36" s="36">
        <v>0.11450371273744753</v>
      </c>
      <c r="D36" s="36">
        <v>4.9784222929325015</v>
      </c>
      <c r="E36" s="36">
        <v>0.1574958551271764</v>
      </c>
      <c r="F36" s="37"/>
      <c r="G36" s="37"/>
    </row>
    <row r="37" spans="1:7" x14ac:dyDescent="0.3">
      <c r="A37" s="53"/>
      <c r="B37" s="36">
        <v>4.0966666666666667</v>
      </c>
      <c r="C37" s="36">
        <v>8.3419345740747233E-2</v>
      </c>
      <c r="D37" s="36">
        <v>3.6269280756846625</v>
      </c>
      <c r="E37" s="36">
        <v>0.15800131801890974</v>
      </c>
      <c r="F37" s="37"/>
      <c r="G37" s="37"/>
    </row>
    <row r="38" spans="1:7" x14ac:dyDescent="0.3">
      <c r="A38" s="53"/>
      <c r="B38" s="36">
        <v>4.6700000000000008</v>
      </c>
      <c r="C38" s="36">
        <v>6.4193975853894483E-2</v>
      </c>
      <c r="D38" s="36">
        <v>2.7910424284301949</v>
      </c>
      <c r="E38" s="36">
        <v>0.15831394175863983</v>
      </c>
      <c r="F38" s="37"/>
      <c r="G38" s="37"/>
    </row>
    <row r="39" spans="1:7" x14ac:dyDescent="0.3">
      <c r="A39" s="54"/>
      <c r="B39" s="36">
        <v>5.2633333333333328</v>
      </c>
      <c r="C39" s="36">
        <v>5.0536630835125856E-2</v>
      </c>
      <c r="D39" s="36">
        <v>2.1972448189185156</v>
      </c>
      <c r="E39" s="36">
        <v>0.15853602384599005</v>
      </c>
      <c r="F39" s="37"/>
      <c r="G39" s="37"/>
    </row>
    <row r="40" spans="1:7" x14ac:dyDescent="0.3">
      <c r="A40" s="55">
        <v>0.92700000000000005</v>
      </c>
      <c r="B40" s="36">
        <v>2.1933333333333334</v>
      </c>
      <c r="C40" s="36">
        <v>0.29101726702451008</v>
      </c>
      <c r="D40" s="36">
        <v>12.65292465323957</v>
      </c>
      <c r="E40" s="36">
        <v>0.20274102084977044</v>
      </c>
      <c r="F40" s="37"/>
      <c r="G40" s="37"/>
    </row>
    <row r="41" spans="1:7" x14ac:dyDescent="0.3">
      <c r="A41" s="55"/>
      <c r="B41" s="36">
        <v>2.5466666666666664</v>
      </c>
      <c r="C41" s="36">
        <v>0.21586579315259999</v>
      </c>
      <c r="D41" s="36">
        <v>9.3854692675043481</v>
      </c>
      <c r="E41" s="36">
        <v>0.20434332542419342</v>
      </c>
      <c r="F41" s="37"/>
      <c r="G41" s="37"/>
    </row>
    <row r="42" spans="1:7" x14ac:dyDescent="0.3">
      <c r="A42" s="55"/>
      <c r="B42" s="36">
        <v>3.0833333333333335</v>
      </c>
      <c r="C42" s="36">
        <v>0.14726077428780129</v>
      </c>
      <c r="D42" s="36">
        <v>6.4026423603391871</v>
      </c>
      <c r="E42" s="36">
        <v>0.20580605303140981</v>
      </c>
      <c r="F42" s="37"/>
      <c r="G42" s="37"/>
    </row>
    <row r="43" spans="1:7" x14ac:dyDescent="0.3">
      <c r="A43" s="55"/>
      <c r="B43" s="36">
        <v>3.563333333333333</v>
      </c>
      <c r="C43" s="36">
        <v>0.11025927556155662</v>
      </c>
      <c r="D43" s="36">
        <v>4.793881546154636</v>
      </c>
      <c r="E43" s="36">
        <v>0.20659496198575206</v>
      </c>
      <c r="F43" s="37"/>
      <c r="G43" s="37"/>
    </row>
    <row r="44" spans="1:7" x14ac:dyDescent="0.3">
      <c r="A44" s="55"/>
      <c r="B44" s="36">
        <v>4.0466666666666669</v>
      </c>
      <c r="C44" s="36">
        <v>8.5493514706241558E-2</v>
      </c>
      <c r="D44" s="36">
        <v>3.7171093350539808</v>
      </c>
      <c r="E44" s="36">
        <v>0.20712299277294824</v>
      </c>
      <c r="F44" s="37"/>
      <c r="G44" s="37"/>
    </row>
    <row r="45" spans="1:7" x14ac:dyDescent="0.3">
      <c r="A45" s="55"/>
      <c r="B45" s="36">
        <v>4.6166666666666663</v>
      </c>
      <c r="C45" s="36">
        <v>6.5685725084387928E-2</v>
      </c>
      <c r="D45" s="36">
        <v>2.855901090625562</v>
      </c>
      <c r="E45" s="36">
        <v>0.20754531465547579</v>
      </c>
      <c r="F45" s="37"/>
      <c r="G45" s="37"/>
    </row>
    <row r="46" spans="1:7" x14ac:dyDescent="0.3">
      <c r="A46" s="43"/>
      <c r="B46" s="44"/>
      <c r="C46" s="44"/>
      <c r="D46" s="44"/>
      <c r="E46" s="44"/>
      <c r="F46" s="37"/>
      <c r="G46" s="37"/>
    </row>
    <row r="47" spans="1:7" x14ac:dyDescent="0.3">
      <c r="A47" s="48" t="s">
        <v>66</v>
      </c>
      <c r="B47" s="48"/>
      <c r="C47" s="48"/>
      <c r="D47" s="48"/>
      <c r="E47" s="48"/>
      <c r="F47" s="48"/>
      <c r="G47" s="48"/>
    </row>
    <row r="48" spans="1:7" x14ac:dyDescent="0.3">
      <c r="A48" s="42" t="s">
        <v>51</v>
      </c>
      <c r="B48" s="42">
        <v>1</v>
      </c>
      <c r="C48" s="42">
        <v>2</v>
      </c>
      <c r="D48" s="42">
        <v>3</v>
      </c>
      <c r="E48" s="42">
        <v>4</v>
      </c>
      <c r="F48" s="42">
        <v>5</v>
      </c>
      <c r="G48" s="42">
        <v>6</v>
      </c>
    </row>
    <row r="49" spans="1:7" x14ac:dyDescent="0.3">
      <c r="A49" s="42" t="s">
        <v>64</v>
      </c>
      <c r="B49" s="41">
        <v>7.6999999999999999E-2</v>
      </c>
      <c r="C49" s="41">
        <v>0.10200000000000001</v>
      </c>
      <c r="D49" s="41">
        <v>0.127</v>
      </c>
      <c r="E49" s="41">
        <v>0.152</v>
      </c>
      <c r="F49" s="41">
        <v>0.17699999999999999</v>
      </c>
      <c r="G49" s="41">
        <v>0.20199999999999999</v>
      </c>
    </row>
    <row r="50" spans="1:7" ht="15" x14ac:dyDescent="0.3">
      <c r="A50" s="42" t="s">
        <v>70</v>
      </c>
      <c r="B50" s="41">
        <v>5.9290000000000002E-3</v>
      </c>
      <c r="C50" s="41">
        <v>1.0404000000000002E-2</v>
      </c>
      <c r="D50" s="41">
        <v>1.6129000000000001E-2</v>
      </c>
      <c r="E50" s="41">
        <v>2.3104E-2</v>
      </c>
      <c r="F50" s="41">
        <v>3.1328999999999996E-2</v>
      </c>
      <c r="G50" s="41">
        <v>4.0803999999999993E-2</v>
      </c>
    </row>
    <row r="51" spans="1:7" ht="15" x14ac:dyDescent="0.3">
      <c r="A51" s="42" t="s">
        <v>71</v>
      </c>
      <c r="B51" s="36">
        <v>1.5068213537674789E-2</v>
      </c>
      <c r="C51" s="36">
        <v>2.1048078241893361E-2</v>
      </c>
      <c r="D51" s="36">
        <v>3.0749652241374853E-2</v>
      </c>
      <c r="E51" s="36">
        <v>4.1675635135226742E-2</v>
      </c>
      <c r="F51" s="36">
        <v>5.3980073805964597E-2</v>
      </c>
      <c r="G51" s="36">
        <v>7.0331102837393106E-2</v>
      </c>
    </row>
  </sheetData>
  <mergeCells count="13">
    <mergeCell ref="A1:G1"/>
    <mergeCell ref="A20:E20"/>
    <mergeCell ref="A47:G47"/>
    <mergeCell ref="B2:G2"/>
    <mergeCell ref="A4:A7"/>
    <mergeCell ref="A8:A11"/>
    <mergeCell ref="A12:A15"/>
    <mergeCell ref="A16:A19"/>
    <mergeCell ref="A22:A27"/>
    <mergeCell ref="A28:A33"/>
    <mergeCell ref="A34:A39"/>
    <mergeCell ref="A40:A45"/>
    <mergeCell ref="A2:A3"/>
  </mergeCells>
  <pageMargins left="0.23622047244094491" right="0.23622047244094491" top="7.874015748031496E-2" bottom="0.15748031496062992" header="0.31496062992125984" footer="0.31496062992125984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-0.499984740745262"/>
    <pageSetUpPr fitToPage="1"/>
  </sheetPr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pageSetup paperSize="9" scale="81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-0.499984740745262"/>
  </sheetPr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E2"/>
  <sheetViews>
    <sheetView workbookViewId="0">
      <selection activeCell="E3" sqref="E3"/>
    </sheetView>
  </sheetViews>
  <sheetFormatPr defaultRowHeight="14.4" x14ac:dyDescent="0.3"/>
  <sheetData>
    <row r="1" spans="1:5" ht="15.6" x14ac:dyDescent="0.35">
      <c r="A1" s="2" t="s">
        <v>12</v>
      </c>
      <c r="B1" s="2" t="s">
        <v>13</v>
      </c>
      <c r="C1" s="2" t="s">
        <v>49</v>
      </c>
      <c r="D1" s="2" t="s">
        <v>50</v>
      </c>
      <c r="E1" s="2" t="s">
        <v>26</v>
      </c>
    </row>
    <row r="2" spans="1:5" x14ac:dyDescent="0.3">
      <c r="A2" s="12">
        <v>0.7</v>
      </c>
      <c r="B2" s="12">
        <v>4.5999999999999999E-2</v>
      </c>
      <c r="C2" s="2">
        <v>5.7000000000000002E-2</v>
      </c>
      <c r="D2" s="2">
        <v>2.5000000000000001E-2</v>
      </c>
      <c r="E2" s="2">
        <v>0.04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N4"/>
  <sheetViews>
    <sheetView topLeftCell="F1" workbookViewId="0">
      <selection activeCell="K2" sqref="K2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5">
        <f>'Таблица 1'!B3</f>
        <v>4.2</v>
      </c>
      <c r="B2">
        <f>(A2-$H$2)*(A2-$H$2)</f>
        <v>5.1377777777777738E-2</v>
      </c>
      <c r="H2">
        <f>SUM(A:A)/COUNT(A:A)</f>
        <v>4.4266666666666667</v>
      </c>
      <c r="I2">
        <f>SQRT(SUM(B:B)/COUNT(A:A)/(COUNT(A:A)-1))</f>
        <v>0.13920408678547386</v>
      </c>
      <c r="J2">
        <v>0.95</v>
      </c>
      <c r="K2">
        <f>J2*I2</f>
        <v>0.13224388244620017</v>
      </c>
      <c r="L2">
        <v>1</v>
      </c>
      <c r="M2">
        <f>SQRT(K2*K2+(2/3*L2)*(2/3*L2))</f>
        <v>0.67965644916302292</v>
      </c>
      <c r="N2" s="28">
        <f>M2/H2</f>
        <v>0.15353684845550217</v>
      </c>
    </row>
    <row r="3" spans="1:14" x14ac:dyDescent="0.3">
      <c r="A3" s="15">
        <f>'Таблица 1'!B4</f>
        <v>4.4000000000000004</v>
      </c>
      <c r="B3">
        <f t="shared" ref="B3:B4" si="0">(A3-$H$2)*(A3-$H$2)</f>
        <v>7.1111111111109662E-4</v>
      </c>
    </row>
    <row r="4" spans="1:14" x14ac:dyDescent="0.3">
      <c r="A4" s="15">
        <f>'Таблица 1'!B5</f>
        <v>4.68</v>
      </c>
      <c r="B4">
        <f t="shared" si="0"/>
        <v>6.4177777777777598E-2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N7"/>
  <sheetViews>
    <sheetView workbookViewId="0">
      <selection activeCell="A2" sqref="A2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5">
        <f>'Таблица 2'!C3</f>
        <v>7.14454202351575E-2</v>
      </c>
      <c r="B2" s="15">
        <f>(A2-$H$2)*(A2-$H$2)</f>
        <v>1.2437852586599681E-3</v>
      </c>
      <c r="H2" s="15">
        <f>SUM(A:A)/COUNT(A:A)</f>
        <v>3.6178080405508198E-2</v>
      </c>
      <c r="I2" s="15">
        <f>SQRT(SUM(B:B)/COUNT(A:A)/(COUNT(A:A)-1))</f>
        <v>8.6971590825182191E-3</v>
      </c>
      <c r="J2" s="15">
        <v>0.95</v>
      </c>
      <c r="K2" s="15">
        <f>J2*I2</f>
        <v>8.2623011283923086E-3</v>
      </c>
      <c r="L2" s="15">
        <v>1</v>
      </c>
      <c r="M2" s="15">
        <f>SQRT(K2*K2+(2/3*L2)*(2/3*L2))</f>
        <v>0.66671786391575005</v>
      </c>
      <c r="N2" s="28">
        <f>M2/H2</f>
        <v>18.428779427839423</v>
      </c>
    </row>
    <row r="3" spans="1:14" x14ac:dyDescent="0.3">
      <c r="A3" s="15">
        <f>'Таблица 2'!C4</f>
        <v>4.9965420756428888E-2</v>
      </c>
      <c r="B3" s="15">
        <f t="shared" ref="B3:B7" si="0">(A3-$H$2)*(A3-$H$2)</f>
        <v>1.9009075395212587E-4</v>
      </c>
    </row>
    <row r="4" spans="1:14" x14ac:dyDescent="0.3">
      <c r="A4" s="15">
        <f>'Таблица 2'!C5</f>
        <v>3.5839999999999997E-2</v>
      </c>
      <c r="B4" s="15">
        <f t="shared" si="0"/>
        <v>1.1429836058858959E-7</v>
      </c>
    </row>
    <row r="5" spans="1:14" x14ac:dyDescent="0.3">
      <c r="A5" s="15">
        <f>'Таблица 2'!C6</f>
        <v>2.4669120526274561E-2</v>
      </c>
      <c r="B5" s="15">
        <f>(A5-$H$2)*(A5-$H$2)</f>
        <v>1.3245615750180951E-4</v>
      </c>
    </row>
    <row r="6" spans="1:14" x14ac:dyDescent="0.3">
      <c r="A6" s="15">
        <f>'Таблица 2'!C7</f>
        <v>1.9872801453048775E-2</v>
      </c>
      <c r="B6" s="15">
        <f t="shared" si="0"/>
        <v>2.6586212171751628E-4</v>
      </c>
    </row>
    <row r="7" spans="1:14" x14ac:dyDescent="0.3">
      <c r="A7" s="15">
        <f>'Таблица 2'!C8</f>
        <v>1.5275719462139495E-2</v>
      </c>
      <c r="B7" s="15">
        <f t="shared" si="0"/>
        <v>4.3690869300686545E-4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G9"/>
  <sheetViews>
    <sheetView workbookViewId="0">
      <selection activeCell="B8" sqref="B8"/>
    </sheetView>
  </sheetViews>
  <sheetFormatPr defaultRowHeight="14.4" x14ac:dyDescent="0.3"/>
  <cols>
    <col min="1" max="1" width="26.33203125" customWidth="1"/>
  </cols>
  <sheetData>
    <row r="1" spans="1:7" x14ac:dyDescent="0.3">
      <c r="A1" s="29" t="s">
        <v>42</v>
      </c>
      <c r="B1" t="s">
        <v>27</v>
      </c>
    </row>
    <row r="2" spans="1:7" ht="43.2" x14ac:dyDescent="0.3">
      <c r="A2" s="29" t="s">
        <v>38</v>
      </c>
      <c r="B2" s="25">
        <f>-4*'Параметры установки'!A2/'Погрешности прямые (t)'!H2/'Погрешности прямые (t)'!H2/'Погрешности прямые (t)'!H2</f>
        <v>-3.2279557335161524E-2</v>
      </c>
      <c r="C2" s="25"/>
      <c r="D2" s="25"/>
      <c r="E2" s="25"/>
      <c r="F2" s="25"/>
      <c r="G2" s="25"/>
    </row>
    <row r="3" spans="1:7" ht="28.8" x14ac:dyDescent="0.3">
      <c r="A3" s="29" t="s">
        <v>41</v>
      </c>
      <c r="B3" s="27">
        <f>'Погрешности прямые (t)'!H2</f>
        <v>4.4266666666666667</v>
      </c>
      <c r="C3" s="25"/>
      <c r="D3" s="25"/>
      <c r="E3" s="25"/>
      <c r="F3" s="25"/>
      <c r="G3" s="25"/>
    </row>
    <row r="4" spans="1:7" x14ac:dyDescent="0.3">
      <c r="A4" s="29" t="s">
        <v>40</v>
      </c>
      <c r="B4" s="15">
        <f>2*'Параметры установки'!A2/'Погрешности прямые (t)'!H2/'Погрешности прямые (t)'!H2</f>
        <v>7.14454202351575E-2</v>
      </c>
    </row>
    <row r="5" spans="1:7" ht="28.8" x14ac:dyDescent="0.3">
      <c r="A5" s="29" t="s">
        <v>43</v>
      </c>
      <c r="B5" s="15">
        <f>'Погрешности прямые (t)'!M2</f>
        <v>0.67965644916302292</v>
      </c>
    </row>
    <row r="6" spans="1:7" ht="28.8" x14ac:dyDescent="0.3">
      <c r="A6" s="29" t="s">
        <v>46</v>
      </c>
      <c r="B6" s="28">
        <f>'Погрешности прямые (t)'!N2</f>
        <v>0.15353684845550217</v>
      </c>
    </row>
    <row r="7" spans="1:7" x14ac:dyDescent="0.3">
      <c r="A7" s="29" t="s">
        <v>44</v>
      </c>
      <c r="B7">
        <f>B5*B5*B2*B2</f>
        <v>4.8132012989785656E-4</v>
      </c>
    </row>
    <row r="8" spans="1:7" ht="28.8" x14ac:dyDescent="0.3">
      <c r="A8" s="29" t="s">
        <v>39</v>
      </c>
      <c r="B8">
        <f>SQRT(SUM(7:7))</f>
        <v>2.1939009318970092E-2</v>
      </c>
    </row>
    <row r="9" spans="1:7" ht="28.8" x14ac:dyDescent="0.3">
      <c r="A9" s="29" t="s">
        <v>47</v>
      </c>
      <c r="B9" s="28">
        <f>B8/B4</f>
        <v>0.30707369691100439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N8"/>
  <sheetViews>
    <sheetView workbookViewId="0">
      <selection activeCell="A6" sqref="A6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5">
        <f>'Таблица 2'!D3</f>
        <v>3.1063226189198914</v>
      </c>
      <c r="B2" s="15">
        <f>(A2-$H$2)*(A2-$H$2)</f>
        <v>2.3512008670320754</v>
      </c>
      <c r="H2" s="15">
        <f>SUM(A:A)/COUNT(A:A)</f>
        <v>1.5729600176307914</v>
      </c>
      <c r="I2" s="15">
        <f>SQRT(SUM(B:B)/COUNT(A:A)/(COUNT(A:A)-1))</f>
        <v>0.37813735141383553</v>
      </c>
      <c r="J2" s="15">
        <v>0.95</v>
      </c>
      <c r="K2" s="15">
        <f>J2*I2</f>
        <v>0.35923048384314371</v>
      </c>
      <c r="L2" s="15">
        <v>1</v>
      </c>
      <c r="M2" s="15">
        <f>SQRT(K2*K2+(2/3*L2)*(2/3*L2))</f>
        <v>0.75729187567715495</v>
      </c>
      <c r="N2" s="28">
        <f>M2/H2</f>
        <v>0.48144381750897636</v>
      </c>
    </row>
    <row r="3" spans="1:14" x14ac:dyDescent="0.3">
      <c r="A3" s="15">
        <f>'Таблица 2'!D4</f>
        <v>2.1724095981056037</v>
      </c>
      <c r="B3" s="15">
        <f t="shared" ref="B3:B7" si="0">(A3-$H$2)*(A3-$H$2)</f>
        <v>0.35933979953142853</v>
      </c>
    </row>
    <row r="4" spans="1:14" x14ac:dyDescent="0.3">
      <c r="A4" s="15">
        <f>'Таблица 2'!D5</f>
        <v>1.5582608695652174</v>
      </c>
      <c r="B4" s="15">
        <f t="shared" si="0"/>
        <v>2.1606495385366909E-4</v>
      </c>
    </row>
    <row r="5" spans="1:14" x14ac:dyDescent="0.3">
      <c r="A5" s="15">
        <f>'Таблица 2'!D6</f>
        <v>1.0725704576641113</v>
      </c>
      <c r="B5" s="15">
        <f t="shared" si="0"/>
        <v>0.25038971172364777</v>
      </c>
    </row>
    <row r="6" spans="1:14" x14ac:dyDescent="0.3">
      <c r="A6" s="15">
        <f>'Таблица 2'!D7</f>
        <v>0.86403484578472933</v>
      </c>
      <c r="B6" s="15">
        <f t="shared" si="0"/>
        <v>0.50257489927696863</v>
      </c>
    </row>
    <row r="7" spans="1:14" x14ac:dyDescent="0.3">
      <c r="A7" s="15">
        <f>'Таблица 2'!D8</f>
        <v>0.66416171574519545</v>
      </c>
      <c r="B7" s="15">
        <f t="shared" si="0"/>
        <v>0.82591435351014286</v>
      </c>
    </row>
    <row r="8" spans="1:14" x14ac:dyDescent="0.3">
      <c r="A8" s="15"/>
      <c r="B8" s="15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9"/>
  <sheetViews>
    <sheetView workbookViewId="0">
      <selection activeCell="B9" sqref="B9"/>
    </sheetView>
  </sheetViews>
  <sheetFormatPr defaultRowHeight="14.4" x14ac:dyDescent="0.3"/>
  <cols>
    <col min="1" max="1" width="26.33203125" customWidth="1"/>
  </cols>
  <sheetData>
    <row r="1" spans="1:7" x14ac:dyDescent="0.3">
      <c r="A1" s="29" t="s">
        <v>42</v>
      </c>
      <c r="B1" s="26" t="s">
        <v>45</v>
      </c>
    </row>
    <row r="2" spans="1:7" ht="43.2" x14ac:dyDescent="0.3">
      <c r="A2" s="29" t="s">
        <v>38</v>
      </c>
      <c r="B2" s="25">
        <f>-8*'Параметры установки'!A2/'Параметры установки'!B2/'Погрешности прямые (t)'!H2/'Погрешности прямые (t)'!H2/'Погрешности прямые (t)'!H2</f>
        <v>-1.4034590145722399</v>
      </c>
      <c r="C2" s="25"/>
      <c r="D2" s="25"/>
      <c r="E2" s="25"/>
      <c r="F2" s="25"/>
      <c r="G2" s="25"/>
    </row>
    <row r="3" spans="1:7" ht="28.8" x14ac:dyDescent="0.3">
      <c r="A3" s="29" t="s">
        <v>41</v>
      </c>
      <c r="B3" s="27">
        <f>'Погрешности прямые (t)'!H2</f>
        <v>4.4266666666666667</v>
      </c>
      <c r="C3" s="25"/>
      <c r="D3" s="25"/>
      <c r="E3" s="25"/>
      <c r="F3" s="25"/>
      <c r="G3" s="25"/>
    </row>
    <row r="4" spans="1:7" x14ac:dyDescent="0.3">
      <c r="A4" s="29" t="s">
        <v>40</v>
      </c>
      <c r="B4">
        <f>4*'Параметры установки'!A2/'Параметры установки'!B2/'Погрешности прямые (t)'!H2/'Погрешности прямые (t)'!H2</f>
        <v>3.1063226189198909</v>
      </c>
    </row>
    <row r="5" spans="1:7" ht="28.8" x14ac:dyDescent="0.3">
      <c r="A5" s="29" t="s">
        <v>43</v>
      </c>
      <c r="B5" s="15">
        <f>'Погрешности прямые (t)'!M2</f>
        <v>0.67965644916302292</v>
      </c>
    </row>
    <row r="6" spans="1:7" ht="28.8" x14ac:dyDescent="0.3">
      <c r="A6" s="29" t="s">
        <v>46</v>
      </c>
      <c r="B6" s="28">
        <f>'Погрешности прямые (t)'!N2</f>
        <v>0.15353684845550217</v>
      </c>
    </row>
    <row r="7" spans="1:7" x14ac:dyDescent="0.3">
      <c r="A7" s="29" t="s">
        <v>44</v>
      </c>
      <c r="B7">
        <f>B5*B5*B2*B2</f>
        <v>0.90986792041182674</v>
      </c>
    </row>
    <row r="8" spans="1:7" ht="28.8" x14ac:dyDescent="0.3">
      <c r="A8" s="29" t="s">
        <v>39</v>
      </c>
      <c r="B8">
        <f>SQRT(SUM(7:7))</f>
        <v>0.95386997039000376</v>
      </c>
    </row>
    <row r="9" spans="1:7" ht="28.8" x14ac:dyDescent="0.3">
      <c r="A9" s="29" t="s">
        <v>47</v>
      </c>
      <c r="B9" s="28">
        <f>B8/B4</f>
        <v>0.30707369691100433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N7"/>
  <sheetViews>
    <sheetView tabSelected="1" topLeftCell="J1" workbookViewId="0">
      <selection activeCell="L2" sqref="L2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5">
        <f>'Таблица 2'!E3</f>
        <v>5.9743053674335911E-2</v>
      </c>
      <c r="B2" s="15">
        <f>(A2-$H$2)*(A2-$H$2)</f>
        <v>4.6905481664140197E-8</v>
      </c>
      <c r="H2" s="15">
        <f>SUM(A:A)/COUNT(A:A)</f>
        <v>5.995963040822979E-2</v>
      </c>
      <c r="I2" s="15">
        <f>SQRT(SUM(B:B)/COUNT(A:A)/(COUNT(A:A)-1))</f>
        <v>5.3409253925744258E-5</v>
      </c>
      <c r="J2" s="15">
        <v>0.95</v>
      </c>
      <c r="K2" s="15">
        <f>J2*I2</f>
        <v>5.0738791229457043E-5</v>
      </c>
      <c r="L2" s="15">
        <v>0.01</v>
      </c>
      <c r="M2" s="15">
        <f>SQRT(K2*K2+(2/3*L2)*(2/3*L2))</f>
        <v>6.6668597457408586E-3</v>
      </c>
      <c r="N2" s="28">
        <f>M2/H2</f>
        <v>0.11118914009893222</v>
      </c>
    </row>
    <row r="3" spans="1:14" x14ac:dyDescent="0.3">
      <c r="A3" s="15">
        <f>'Таблица 2'!E4</f>
        <v>5.9874962351134778E-2</v>
      </c>
      <c r="B3" s="15">
        <f t="shared" ref="B3:B7" si="0">(A3-$H$2)*(A3-$H$2)</f>
        <v>7.168679892244262E-9</v>
      </c>
    </row>
    <row r="4" spans="1:14" x14ac:dyDescent="0.3">
      <c r="A4" s="15">
        <f>'Таблица 2'!E5</f>
        <v>5.9961706560000008E-2</v>
      </c>
      <c r="B4" s="15">
        <f t="shared" si="0"/>
        <v>4.3104061729796762E-12</v>
      </c>
    </row>
    <row r="5" spans="1:14" x14ac:dyDescent="0.3">
      <c r="A5" s="15">
        <f>'Таблица 2'!E6</f>
        <v>6.0030306930848161E-2</v>
      </c>
      <c r="B5" s="15">
        <f t="shared" si="0"/>
        <v>4.9951708494250897E-9</v>
      </c>
    </row>
    <row r="6" spans="1:14" x14ac:dyDescent="0.3">
      <c r="A6" s="15">
        <f>'Таблица 2'!E7</f>
        <v>6.0059761126276832E-2</v>
      </c>
      <c r="B6" s="15">
        <f t="shared" si="0"/>
        <v>1.0026160696616287E-8</v>
      </c>
    </row>
    <row r="7" spans="1:14" x14ac:dyDescent="0.3">
      <c r="A7" s="15">
        <f>'Таблица 2'!E8</f>
        <v>6.0087991806783016E-2</v>
      </c>
      <c r="B7" s="15">
        <f t="shared" si="0"/>
        <v>1.6476648638540025E-8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G9"/>
  <sheetViews>
    <sheetView workbookViewId="0">
      <selection activeCell="B9" sqref="B9"/>
    </sheetView>
  </sheetViews>
  <sheetFormatPr defaultRowHeight="14.4" x14ac:dyDescent="0.3"/>
  <cols>
    <col min="1" max="1" width="26.33203125" customWidth="1"/>
  </cols>
  <sheetData>
    <row r="1" spans="1:7" x14ac:dyDescent="0.3">
      <c r="A1" s="29" t="s">
        <v>42</v>
      </c>
      <c r="B1" t="s">
        <v>48</v>
      </c>
    </row>
    <row r="2" spans="1:7" ht="43.2" x14ac:dyDescent="0.3">
      <c r="A2" s="29" t="s">
        <v>38</v>
      </c>
      <c r="B2" s="25">
        <f>2*'Таблица 2'!A3*'Параметры установки'!B2*'Параметры установки'!A2/'Погрешности прямые (t)'!H2/'Погрешности прямые (t)'!H2/'Погрешности прямые (t)'!H2</f>
        <v>1.9822876159522685E-4</v>
      </c>
      <c r="C2" s="25"/>
      <c r="D2" s="25"/>
      <c r="E2" s="25"/>
      <c r="F2" s="25"/>
      <c r="G2" s="25"/>
    </row>
    <row r="3" spans="1:7" ht="28.8" x14ac:dyDescent="0.3">
      <c r="A3" s="29" t="s">
        <v>41</v>
      </c>
      <c r="B3" s="27">
        <f>'Погрешности прямые (t)'!H2</f>
        <v>4.4266666666666667</v>
      </c>
      <c r="C3" s="25"/>
      <c r="D3" s="25"/>
      <c r="E3" s="25"/>
      <c r="F3" s="25"/>
      <c r="G3" s="25"/>
    </row>
    <row r="4" spans="1:7" x14ac:dyDescent="0.3">
      <c r="A4" s="29" t="s">
        <v>40</v>
      </c>
      <c r="B4">
        <f>'Таблица 2'!A3*'Параметры установки'!B2/2*(9.82-2*'Параметры установки'!A2/'Погрешности прямые (t)'!H2/'Погрешности прямые (t)'!H2)</f>
        <v>5.9865873674335907E-2</v>
      </c>
    </row>
    <row r="5" spans="1:7" ht="28.8" x14ac:dyDescent="0.3">
      <c r="A5" s="29" t="s">
        <v>43</v>
      </c>
      <c r="B5">
        <f>'Погрешности прямые (t)'!M2</f>
        <v>0.67965644916302292</v>
      </c>
    </row>
    <row r="6" spans="1:7" ht="28.8" x14ac:dyDescent="0.3">
      <c r="A6" s="29" t="s">
        <v>46</v>
      </c>
      <c r="B6" s="28">
        <f>'Погрешности прямые (t)'!N2</f>
        <v>0.15353684845550217</v>
      </c>
    </row>
    <row r="7" spans="1:7" x14ac:dyDescent="0.3">
      <c r="A7" s="29" t="s">
        <v>44</v>
      </c>
      <c r="B7">
        <f>B5*B5*B2*B2</f>
        <v>1.8151487461612496E-8</v>
      </c>
    </row>
    <row r="8" spans="1:7" ht="28.8" x14ac:dyDescent="0.3">
      <c r="A8" s="29" t="s">
        <v>39</v>
      </c>
      <c r="B8">
        <f>SQRT(SUM(7:7))</f>
        <v>1.347274562277953E-4</v>
      </c>
    </row>
    <row r="9" spans="1:7" ht="28.8" x14ac:dyDescent="0.3">
      <c r="A9" s="29" t="s">
        <v>47</v>
      </c>
      <c r="B9" s="28">
        <f>B8/B3</f>
        <v>3.0435419328568216E-5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R23"/>
  <sheetViews>
    <sheetView zoomScaleNormal="100" workbookViewId="0">
      <selection activeCell="B2" sqref="B2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10" t="s">
        <v>29</v>
      </c>
      <c r="E1" s="11" t="s">
        <v>30</v>
      </c>
      <c r="F1" s="10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2'!D3</f>
        <v>3.1063226189198914</v>
      </c>
      <c r="B2" s="14">
        <f>'Таблица 2'!E3</f>
        <v>5.9743053674335911E-2</v>
      </c>
      <c r="C2" s="31">
        <f>(A2-$L$2)*(A2-$L$2)</f>
        <v>13.037451636304313</v>
      </c>
      <c r="D2" s="33">
        <f>(B2-$M$2)*(B2-$M$2)</f>
        <v>5.2343643399823973E-3</v>
      </c>
      <c r="E2" s="16">
        <f>A2-$L$2</f>
        <v>-3.6107411477845255</v>
      </c>
      <c r="F2" s="14">
        <f>B2-$M$2</f>
        <v>-7.2348906971580418E-2</v>
      </c>
      <c r="G2" s="34">
        <f>E2*F2</f>
        <v>0.26123317539952012</v>
      </c>
      <c r="H2" s="15">
        <f>B2-($O$2+$N$2*A2)</f>
        <v>-3.4848715665922181E-4</v>
      </c>
      <c r="I2" s="32">
        <f>H2*H2</f>
        <v>1.2144329835642901E-7</v>
      </c>
      <c r="J2" s="23">
        <f>SQRT(4*$R$2+4*$Q$2*A2*A2)</f>
        <v>1.5449070160379987E-3</v>
      </c>
      <c r="K2" s="15"/>
      <c r="L2" s="15">
        <f>SUM(A:A)/COUNT(A:A)</f>
        <v>6.7170637667044168</v>
      </c>
      <c r="M2" s="15">
        <f>SUM(B:B)/COUNT(B:B)</f>
        <v>0.13209196064591633</v>
      </c>
      <c r="N2" s="15">
        <f>SUM(G:G)/SUM(C:C)</f>
        <v>1.9940620739068802E-2</v>
      </c>
      <c r="O2" s="15">
        <f>M2-N2*L2</f>
        <v>-1.8504604060773644E-3</v>
      </c>
      <c r="P2" s="15">
        <f>SUM(C:C)</f>
        <v>29.025453974382579</v>
      </c>
      <c r="Q2" s="31">
        <f>1/P2*SUM(I:I)/(COUNT(I:I)-2)</f>
        <v>9.6201331292371625E-9</v>
      </c>
      <c r="R2" s="31">
        <f>(1/COUNT(I:I)+L2*L2/P2)*SUM(I:I)/(COUNT(I:I)-2)</f>
        <v>5.0385744660760539E-7</v>
      </c>
    </row>
    <row r="3" spans="1:18" ht="16.8" thickTop="1" thickBot="1" x14ac:dyDescent="0.35">
      <c r="A3" s="13">
        <f>'Таблица 2'!D9</f>
        <v>5.5112789417049735</v>
      </c>
      <c r="B3" s="14">
        <f>'Таблица 2'!E9</f>
        <v>0.10834996778520115</v>
      </c>
      <c r="C3" s="31">
        <f t="shared" ref="C3:C5" si="0">(A3-$L$2)*(A3-$L$2)</f>
        <v>1.4539170441989384</v>
      </c>
      <c r="D3" s="33">
        <f t="shared" ref="D3:D5" si="1">(B3-$M$2)*(B3-$M$2)</f>
        <v>5.6368222499825075E-4</v>
      </c>
      <c r="E3" s="19">
        <f>A3-$L$2</f>
        <v>-1.2057848249994434</v>
      </c>
      <c r="F3" s="14">
        <f>B3-$M$2</f>
        <v>-2.3741992860715183E-2</v>
      </c>
      <c r="G3" s="34">
        <f>E3*F3</f>
        <v>2.8627734706695492E-2</v>
      </c>
      <c r="H3" s="15">
        <f>B3-($O$2+$N$2*A3)</f>
        <v>3.0210502752316126E-4</v>
      </c>
      <c r="I3" s="33">
        <f>H3*H3</f>
        <v>9.126744765477002E-8</v>
      </c>
      <c r="J3" s="17">
        <f t="shared" ref="J3:J5" si="2">SQRT(4*$R$2+4*$Q$2*A3*A3)</f>
        <v>1.7844452938838465E-3</v>
      </c>
      <c r="K3" s="24"/>
      <c r="L3" s="15"/>
      <c r="M3" s="15"/>
      <c r="N3" s="30" t="s">
        <v>54</v>
      </c>
      <c r="O3" s="30" t="s">
        <v>55</v>
      </c>
      <c r="P3" s="15"/>
      <c r="Q3" s="30" t="s">
        <v>58</v>
      </c>
      <c r="R3" s="30" t="s">
        <v>59</v>
      </c>
    </row>
    <row r="4" spans="1:18" ht="15.6" thickTop="1" thickBot="1" x14ac:dyDescent="0.35">
      <c r="A4" s="13">
        <f>'Таблица 2'!D15</f>
        <v>7.9140001929508612</v>
      </c>
      <c r="B4" s="14">
        <f>'Таблица 2'!E15</f>
        <v>0.1563979401858358</v>
      </c>
      <c r="C4" s="31">
        <f t="shared" si="0"/>
        <v>1.4326568084756099</v>
      </c>
      <c r="D4" s="33">
        <f t="shared" si="1"/>
        <v>5.9078064139498417E-4</v>
      </c>
      <c r="E4" s="19">
        <f t="shared" ref="E4:E5" si="3">A4-$L$2</f>
        <v>1.1969364262464444</v>
      </c>
      <c r="F4" s="14">
        <f t="shared" ref="F4:F5" si="4">B4-$M$2</f>
        <v>2.4305979539919476E-2</v>
      </c>
      <c r="G4" s="34">
        <f t="shared" ref="G4:G5" si="5">E4*F4</f>
        <v>2.9092712286930413E-2</v>
      </c>
      <c r="H4" s="15">
        <f t="shared" ref="H4:H5" si="6">B4-($O$2+$N$2*A4)</f>
        <v>4.383242153627176E-4</v>
      </c>
      <c r="I4" s="33">
        <f t="shared" ref="I4:I5" si="7">H4*H4</f>
        <v>1.9212811777334205E-7</v>
      </c>
      <c r="J4" s="17">
        <f t="shared" si="2"/>
        <v>2.1036918439521664E-3</v>
      </c>
      <c r="K4" s="15"/>
      <c r="L4" s="15"/>
      <c r="M4" s="15"/>
      <c r="N4" s="15"/>
      <c r="O4" s="15"/>
      <c r="P4" s="15"/>
      <c r="Q4" s="15">
        <f>SQRT(Q2)</f>
        <v>9.8082277345283757E-5</v>
      </c>
      <c r="R4" s="15">
        <f>SQRT(R2)</f>
        <v>7.0982916719983084E-4</v>
      </c>
    </row>
    <row r="5" spans="1:18" ht="16.8" thickTop="1" thickBot="1" x14ac:dyDescent="0.35">
      <c r="A5" s="13">
        <f>'Таблица 2'!D21</f>
        <v>10.336653313241941</v>
      </c>
      <c r="B5" s="14">
        <f>'Таблица 2'!E21</f>
        <v>0.20387688093829251</v>
      </c>
      <c r="C5" s="31">
        <f t="shared" si="0"/>
        <v>13.101428485403719</v>
      </c>
      <c r="D5" s="33">
        <f t="shared" si="1"/>
        <v>5.1530747813828019E-3</v>
      </c>
      <c r="E5" s="19">
        <f t="shared" si="3"/>
        <v>3.6195895465375241</v>
      </c>
      <c r="F5" s="14">
        <f t="shared" si="4"/>
        <v>7.1784920292376181E-2</v>
      </c>
      <c r="G5" s="34">
        <f t="shared" si="5"/>
        <v>0.25983194708931423</v>
      </c>
      <c r="H5" s="15">
        <f t="shared" si="6"/>
        <v>-3.9194208622661542E-4</v>
      </c>
      <c r="I5" s="33">
        <f t="shared" si="7"/>
        <v>1.5361859895567164E-7</v>
      </c>
      <c r="J5" s="17">
        <f t="shared" si="2"/>
        <v>2.4752648791725031E-3</v>
      </c>
      <c r="K5" s="15"/>
      <c r="L5" s="15"/>
      <c r="M5" s="15"/>
      <c r="N5" s="15"/>
      <c r="O5" s="15"/>
      <c r="P5" s="15"/>
      <c r="Q5" s="30" t="s">
        <v>60</v>
      </c>
      <c r="R5" s="30" t="s">
        <v>61</v>
      </c>
    </row>
    <row r="6" spans="1:18" ht="15" thickTop="1" x14ac:dyDescent="0.3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1.9616455469056751E-4</v>
      </c>
      <c r="R6" s="15">
        <f>R4*2</f>
        <v>1.4196583343996617E-3</v>
      </c>
    </row>
    <row r="7" spans="1:18" x14ac:dyDescent="0.3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3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3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3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3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3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3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3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3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3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3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3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3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3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3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3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3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R23"/>
  <sheetViews>
    <sheetView workbookViewId="0">
      <selection activeCell="M18" sqref="M18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10" t="s">
        <v>29</v>
      </c>
      <c r="E1" s="11" t="s">
        <v>30</v>
      </c>
      <c r="F1" s="10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2'!D4</f>
        <v>2.1724095981056037</v>
      </c>
      <c r="B2" s="14">
        <f>'Таблица 2'!E4</f>
        <v>5.9874962351134778E-2</v>
      </c>
      <c r="C2" s="15">
        <f>(A2-$L$2)*(A2-$L$2)</f>
        <v>8.8971300967709617</v>
      </c>
      <c r="D2" s="14">
        <f>(B2-$M$2)*(B2-$M$2)</f>
        <v>5.2943211186656245E-3</v>
      </c>
      <c r="E2" s="16">
        <f>A2-$L$2</f>
        <v>-2.982805742379306</v>
      </c>
      <c r="F2" s="14">
        <f>B2-$M$2</f>
        <v>-7.2762085722343231E-2</v>
      </c>
      <c r="G2" s="17">
        <f>E2*F2</f>
        <v>0.21703516712010071</v>
      </c>
      <c r="H2" s="15">
        <f>B2-($O$2+$N$2*A2)</f>
        <v>-2.752364552834119E-3</v>
      </c>
      <c r="I2" s="18">
        <f>H2*H2</f>
        <v>7.5755106316977593E-6</v>
      </c>
      <c r="J2" s="23">
        <f>SQRT(4*$R$2+4*$Q$2*A2*A2)</f>
        <v>1.1380424149605269E-2</v>
      </c>
      <c r="K2" s="15"/>
      <c r="L2" s="15">
        <f>SUM(A:A)/COUNT(A:A)</f>
        <v>5.1552153404849097</v>
      </c>
      <c r="M2" s="15">
        <f>SUM(B:B)/COUNT(B:B)</f>
        <v>0.13263704807347801</v>
      </c>
      <c r="N2" s="15">
        <f>SUM(G:G)/SUM(C:C)</f>
        <v>2.3471096415975178E-2</v>
      </c>
      <c r="O2" s="15">
        <f>M2-N2*L2</f>
        <v>1.1638491771842382E-2</v>
      </c>
      <c r="P2" s="15">
        <f>SUM(C:C)</f>
        <v>21.137383881436371</v>
      </c>
      <c r="Q2" s="15">
        <f>1/P2*SUM(I:I)/(COUNT(I:I)-2)</f>
        <v>8.8514361966009431E-7</v>
      </c>
      <c r="R2" s="15">
        <f>(1/COUNT(I:I)+L2*L2/P2)*SUM(I:I)/(COUNT(I:I)-2)</f>
        <v>2.8201198999035346E-5</v>
      </c>
    </row>
    <row r="3" spans="1:18" ht="16.8" thickTop="1" thickBot="1" x14ac:dyDescent="0.35">
      <c r="A3" s="13">
        <f>'Таблица 2'!D10</f>
        <v>3.9277416486159398</v>
      </c>
      <c r="B3" s="14">
        <f>'Таблица 2'!E10</f>
        <v>0.10875792341325861</v>
      </c>
      <c r="C3" s="15">
        <f t="shared" ref="C3:C5" si="0">(A3-$L$2)*(A3-$L$2)</f>
        <v>1.5066916642304389</v>
      </c>
      <c r="D3" s="14">
        <f t="shared" ref="D3:D5" si="1">(B3-$M$2)*(B3-$M$2)</f>
        <v>5.70212594538298E-4</v>
      </c>
      <c r="E3" s="19">
        <f>A3-$L$2</f>
        <v>-1.2274736918689699</v>
      </c>
      <c r="F3" s="14">
        <f>B3-$M$2</f>
        <v>-2.3879124660219395E-2</v>
      </c>
      <c r="G3" s="17">
        <f>E3*F3</f>
        <v>2.9310997305278863E-2</v>
      </c>
      <c r="H3" s="15">
        <f>B3-($O$2+$N$2*A3)</f>
        <v>4.9310287097102112E-3</v>
      </c>
      <c r="I3" s="14">
        <f>H3*H3</f>
        <v>2.4315044135986349E-5</v>
      </c>
      <c r="J3" s="17">
        <f t="shared" ref="J3:J5" si="2">SQRT(4*$R$2+4*$Q$2*A3*A3)</f>
        <v>1.2939311625783779E-2</v>
      </c>
      <c r="K3" s="24"/>
      <c r="L3" s="15"/>
      <c r="M3" s="15"/>
      <c r="N3" s="30" t="s">
        <v>54</v>
      </c>
      <c r="O3" s="30" t="s">
        <v>55</v>
      </c>
      <c r="P3" s="15"/>
      <c r="Q3" s="30" t="s">
        <v>58</v>
      </c>
      <c r="R3" s="30" t="s">
        <v>59</v>
      </c>
    </row>
    <row r="4" spans="1:18" ht="15.6" thickTop="1" thickBot="1" x14ac:dyDescent="0.35">
      <c r="A4" s="13">
        <f>'Таблица 2'!D16</f>
        <v>6.293314297555991</v>
      </c>
      <c r="B4" s="14">
        <f>'Таблица 2'!E16</f>
        <v>0.15700408157277118</v>
      </c>
      <c r="C4" s="15">
        <f t="shared" si="0"/>
        <v>1.295269236086283</v>
      </c>
      <c r="D4" s="14">
        <f t="shared" si="1"/>
        <v>5.9375232155567566E-4</v>
      </c>
      <c r="E4" s="19">
        <f t="shared" ref="E4:E5" si="3">A4-$L$2</f>
        <v>1.1380989570710813</v>
      </c>
      <c r="F4" s="14">
        <f t="shared" ref="F4:F5" si="4">B4-$M$2</f>
        <v>2.4367033499293173E-2</v>
      </c>
      <c r="G4" s="17">
        <f t="shared" ref="G4:G5" si="5">E4*F4</f>
        <v>2.773209541246166E-2</v>
      </c>
      <c r="H4" s="15">
        <f t="shared" ref="H4:H5" si="6">B4-($O$2+$N$2*A4)</f>
        <v>-2.3453968530429692E-3</v>
      </c>
      <c r="I4" s="14">
        <f t="shared" ref="I4:I5" si="7">H4*H4</f>
        <v>5.5008863982638636E-6</v>
      </c>
      <c r="J4" s="17">
        <f t="shared" si="2"/>
        <v>1.5906982675741921E-2</v>
      </c>
      <c r="K4" s="15"/>
      <c r="L4" s="15"/>
      <c r="M4" s="15"/>
      <c r="N4" s="15"/>
      <c r="O4" s="15"/>
      <c r="P4" s="15"/>
      <c r="Q4" s="15">
        <f>SQRT(Q2)</f>
        <v>9.4082071600283881E-4</v>
      </c>
      <c r="R4" s="15">
        <f>SQRT(R2)</f>
        <v>5.3104801100310453E-3</v>
      </c>
    </row>
    <row r="5" spans="1:18" ht="16.8" thickTop="1" thickBot="1" x14ac:dyDescent="0.35">
      <c r="A5" s="13">
        <f>'Таблица 2'!D22</f>
        <v>8.2273958176621029</v>
      </c>
      <c r="B5" s="14">
        <f>'Таблица 2'!E22</f>
        <v>0.20491122495674743</v>
      </c>
      <c r="C5" s="15">
        <f t="shared" si="0"/>
        <v>9.4382928843486873</v>
      </c>
      <c r="D5" s="14">
        <f t="shared" si="1"/>
        <v>5.2235566441541162E-3</v>
      </c>
      <c r="E5" s="19">
        <f t="shared" si="3"/>
        <v>3.0721804771771932</v>
      </c>
      <c r="F5" s="14">
        <f t="shared" si="4"/>
        <v>7.2274176883269425E-2</v>
      </c>
      <c r="G5" s="17">
        <f t="shared" si="5"/>
        <v>0.22203931522483153</v>
      </c>
      <c r="H5" s="15">
        <f t="shared" si="6"/>
        <v>1.6673269616687691E-4</v>
      </c>
      <c r="I5" s="14">
        <f t="shared" si="7"/>
        <v>2.7799791971076092E-8</v>
      </c>
      <c r="J5" s="17">
        <f t="shared" si="2"/>
        <v>1.8774089350717262E-2</v>
      </c>
      <c r="K5" s="15"/>
      <c r="L5" s="15"/>
      <c r="M5" s="15"/>
      <c r="N5" s="15"/>
      <c r="O5" s="15"/>
      <c r="P5" s="15"/>
      <c r="Q5" s="30" t="s">
        <v>60</v>
      </c>
      <c r="R5" s="30" t="s">
        <v>61</v>
      </c>
    </row>
    <row r="6" spans="1:18" ht="15" thickTop="1" x14ac:dyDescent="0.3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1.8816414320056776E-3</v>
      </c>
      <c r="R6" s="15">
        <f>R4*2</f>
        <v>1.0620960220062091E-2</v>
      </c>
    </row>
    <row r="7" spans="1:18" x14ac:dyDescent="0.3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3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3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3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3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3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3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3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3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3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3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3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3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3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3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3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3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10" t="s">
        <v>29</v>
      </c>
      <c r="E1" s="11" t="s">
        <v>30</v>
      </c>
      <c r="F1" s="10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2'!D5</f>
        <v>1.5582608695652174</v>
      </c>
      <c r="B2" s="14">
        <f>'Таблица 2'!E5</f>
        <v>5.9961706560000008E-2</v>
      </c>
      <c r="C2" s="15">
        <f>(A2-$L$2)*(A2-$L$2)</f>
        <v>3.7956538695626554</v>
      </c>
      <c r="D2" s="14">
        <f>(B2-$M$2)*(B2-$M$2)</f>
        <v>5.3741454762201435E-3</v>
      </c>
      <c r="E2" s="16">
        <f>A2-$L$2</f>
        <v>-1.9482437911007584</v>
      </c>
      <c r="F2" s="14">
        <f>B2-$M$2</f>
        <v>-7.330856345762167E-2</v>
      </c>
      <c r="G2" s="17">
        <f>E2*F2</f>
        <v>0.14282295359082736</v>
      </c>
      <c r="H2" s="15">
        <f>B2-($O$2+$N$2*A2)</f>
        <v>9.2431616745219936E-4</v>
      </c>
      <c r="I2" s="18">
        <f>H2*H2</f>
        <v>8.543603774135222E-7</v>
      </c>
      <c r="J2" s="23">
        <f>SQRT(4*$R$2+4*$Q$2*A2*A2)</f>
        <v>5.0569074054595473E-3</v>
      </c>
      <c r="K2" s="15"/>
      <c r="L2" s="15">
        <f>SUM(A:A)/COUNT(A:A)</f>
        <v>3.5065046606659758</v>
      </c>
      <c r="M2" s="15">
        <f>SUM(B:B)/COUNT(B:B)</f>
        <v>0.13327027001762168</v>
      </c>
      <c r="N2" s="15">
        <f>SUM(G:G)/SUM(C:C)</f>
        <v>3.810245923233882E-2</v>
      </c>
      <c r="O2" s="15">
        <f>M2-N2*L2</f>
        <v>-3.3618086340972408E-4</v>
      </c>
      <c r="P2" s="15">
        <f>SUM(C:C)</f>
        <v>8.1898179451029538</v>
      </c>
      <c r="Q2" s="15">
        <f>1/P2*SUM(I:I)/(COUNT(I:I)-2)</f>
        <v>3.8119369530945184E-7</v>
      </c>
      <c r="R2" s="15">
        <f>(1/COUNT(I:I)+L2*L2/P2)*SUM(I:I)/(COUNT(I:I)-2)</f>
        <v>5.4674723871320521E-6</v>
      </c>
    </row>
    <row r="3" spans="1:18" ht="16.8" thickTop="1" thickBot="1" x14ac:dyDescent="0.35">
      <c r="A3" s="13">
        <f>'Таблица 2'!D11</f>
        <v>2.9230470965755964</v>
      </c>
      <c r="B3" s="14">
        <f>'Таблица 2'!E11</f>
        <v>0.10901675583783892</v>
      </c>
      <c r="C3" s="15">
        <f t="shared" ref="C3:C5" si="0">(A3-$L$2)*(A3-$L$2)</f>
        <v>0.34042272909427918</v>
      </c>
      <c r="D3" s="14">
        <f t="shared" ref="D3:D5" si="1">(B3-$M$2)*(B3-$M$2)</f>
        <v>5.8823295006892355E-4</v>
      </c>
      <c r="E3" s="19">
        <f>A3-$L$2</f>
        <v>-0.58345756409037941</v>
      </c>
      <c r="F3" s="14">
        <f>B3-$M$2</f>
        <v>-2.4253514179782762E-2</v>
      </c>
      <c r="G3" s="17">
        <f>E3*F3</f>
        <v>1.4150896303967526E-2</v>
      </c>
      <c r="H3" s="15">
        <f>B3-($O$2+$N$2*A3)</f>
        <v>-2.0223461302293771E-3</v>
      </c>
      <c r="I3" s="14">
        <f>H3*H3</f>
        <v>4.0898838704537366E-6</v>
      </c>
      <c r="J3" s="17">
        <f t="shared" ref="J3:J5" si="2">SQRT(4*$R$2+4*$Q$2*A3*A3)</f>
        <v>5.9074424952617072E-3</v>
      </c>
      <c r="K3" s="24"/>
      <c r="L3" s="15"/>
      <c r="M3" s="15"/>
      <c r="N3" s="30" t="s">
        <v>54</v>
      </c>
      <c r="O3" s="30" t="s">
        <v>55</v>
      </c>
      <c r="P3" s="15"/>
      <c r="Q3" s="30" t="s">
        <v>58</v>
      </c>
      <c r="R3" s="30" t="s">
        <v>59</v>
      </c>
    </row>
    <row r="4" spans="1:18" ht="15.6" thickTop="1" thickBot="1" x14ac:dyDescent="0.35">
      <c r="A4" s="13">
        <f>'Таблица 2'!D17</f>
        <v>4.1208242682012965</v>
      </c>
      <c r="B4" s="14">
        <f>'Таблица 2'!E17</f>
        <v>0.15781659936121992</v>
      </c>
      <c r="C4" s="15">
        <f t="shared" si="0"/>
        <v>0.37738858020235055</v>
      </c>
      <c r="D4" s="14">
        <f t="shared" si="1"/>
        <v>6.02522284244392E-4</v>
      </c>
      <c r="E4" s="19">
        <f t="shared" ref="E4:E5" si="3">A4-$L$2</f>
        <v>0.61431960753532078</v>
      </c>
      <c r="F4" s="14">
        <f t="shared" ref="F4:F5" si="4">B4-$M$2</f>
        <v>2.4546329343598239E-2</v>
      </c>
      <c r="G4" s="17">
        <f t="shared" ref="G4:G5" si="5">E4*F4</f>
        <v>1.5079291408791998E-2</v>
      </c>
      <c r="H4" s="15">
        <f t="shared" ref="H4:H5" si="6">B4-($O$2+$N$2*A4)</f>
        <v>1.1392415418572943E-3</v>
      </c>
      <c r="I4" s="14">
        <f t="shared" ref="I4:I5" si="7">H4*H4</f>
        <v>1.2978712906933853E-6</v>
      </c>
      <c r="J4" s="17">
        <f t="shared" si="2"/>
        <v>6.9110334867998726E-3</v>
      </c>
      <c r="K4" s="15"/>
      <c r="L4" s="15"/>
      <c r="M4" s="15"/>
      <c r="N4" s="15"/>
      <c r="O4" s="15"/>
      <c r="P4" s="15"/>
      <c r="Q4" s="15">
        <f>SQRT(Q2)</f>
        <v>6.1740885587222656E-4</v>
      </c>
      <c r="R4" s="15">
        <f>SQRT(R2)</f>
        <v>2.3382626856561801E-3</v>
      </c>
    </row>
    <row r="5" spans="1:18" ht="16.8" thickTop="1" thickBot="1" x14ac:dyDescent="0.35">
      <c r="A5" s="13">
        <f>'Таблица 2'!D23</f>
        <v>5.423886408321791</v>
      </c>
      <c r="B5" s="14">
        <f>'Таблица 2'!E23</f>
        <v>0.20628601831142793</v>
      </c>
      <c r="C5" s="15">
        <f t="shared" si="0"/>
        <v>3.6763527662436686</v>
      </c>
      <c r="D5" s="14">
        <f t="shared" si="1"/>
        <v>5.3312994989044701E-3</v>
      </c>
      <c r="E5" s="19">
        <f t="shared" si="3"/>
        <v>1.9173817476558153</v>
      </c>
      <c r="F5" s="14">
        <f t="shared" si="4"/>
        <v>7.3015748293806249E-2</v>
      </c>
      <c r="G5" s="17">
        <f t="shared" si="5"/>
        <v>0.13999906306997534</v>
      </c>
      <c r="H5" s="15">
        <f t="shared" si="6"/>
        <v>-4.1211579080019378E-5</v>
      </c>
      <c r="I5" s="14">
        <f t="shared" si="7"/>
        <v>1.6983942502686909E-9</v>
      </c>
      <c r="J5" s="17">
        <f t="shared" si="2"/>
        <v>8.168631659607439E-3</v>
      </c>
      <c r="K5" s="15"/>
      <c r="L5" s="15"/>
      <c r="M5" s="15"/>
      <c r="N5" s="15"/>
      <c r="O5" s="15"/>
      <c r="P5" s="15"/>
      <c r="Q5" s="30" t="s">
        <v>60</v>
      </c>
      <c r="R5" s="30" t="s">
        <v>61</v>
      </c>
    </row>
    <row r="6" spans="1:18" ht="15" thickTop="1" x14ac:dyDescent="0.3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1.2348177117444531E-3</v>
      </c>
      <c r="R6" s="15">
        <f>R4*2</f>
        <v>4.6765253713123602E-3</v>
      </c>
    </row>
    <row r="7" spans="1:18" x14ac:dyDescent="0.3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3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3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3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3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3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3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3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3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3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3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3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3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3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3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3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3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10" t="s">
        <v>29</v>
      </c>
      <c r="E1" s="11" t="s">
        <v>30</v>
      </c>
      <c r="F1" s="10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2'!D6</f>
        <v>1.0725704576641113</v>
      </c>
      <c r="B2" s="14">
        <f>'Таблица 2'!E6</f>
        <v>6.0030306930848161E-2</v>
      </c>
      <c r="C2" s="15">
        <f>(A2-$L$2)*(A2-$L$2)</f>
        <v>2.3712666442585673</v>
      </c>
      <c r="D2" s="14">
        <f>(B2-$M$2)*(B2-$M$2)</f>
        <v>5.410793624545396E-3</v>
      </c>
      <c r="E2" s="16">
        <f>A2-$L$2</f>
        <v>-1.5398917638128231</v>
      </c>
      <c r="F2" s="14">
        <f>B2-$M$2</f>
        <v>-7.3558096933956874E-2</v>
      </c>
      <c r="G2" s="17">
        <f>E2*F2</f>
        <v>0.11327150763034546</v>
      </c>
      <c r="H2" s="15">
        <f>B2-($O$2+$N$2*A2)</f>
        <v>-6.6833074237867413E-4</v>
      </c>
      <c r="I2" s="18">
        <f>H2*H2</f>
        <v>4.4666598120842966E-7</v>
      </c>
      <c r="J2" s="23">
        <f>SQRT(4*$R$2+4*$Q$2*A2*A2)</f>
        <v>5.7431710163831111E-3</v>
      </c>
      <c r="K2" s="15"/>
      <c r="L2" s="15">
        <f>SUM(A:A)/COUNT(A:A)</f>
        <v>2.6124622214769344</v>
      </c>
      <c r="M2" s="15">
        <f>SUM(B:B)/COUNT(B:B)</f>
        <v>0.13358840386480503</v>
      </c>
      <c r="N2" s="15">
        <f>SUM(G:G)/SUM(C:C)</f>
        <v>4.7334343818490665E-2</v>
      </c>
      <c r="O2" s="15">
        <f>M2-N2*L2</f>
        <v>9.929218860597902E-3</v>
      </c>
      <c r="P2" s="15">
        <f>SUM(C:C)</f>
        <v>5.3441974411821516</v>
      </c>
      <c r="Q2" s="15">
        <f>1/P2*SUM(I:I)/(COUNT(I:I)-2)</f>
        <v>8.8557998913744442E-7</v>
      </c>
      <c r="R2" s="15">
        <f>(1/COUNT(I:I)+L2*L2/P2)*SUM(I:I)/(COUNT(I:I)-2)</f>
        <v>7.2272255698792464E-6</v>
      </c>
    </row>
    <row r="3" spans="1:18" ht="16.8" thickTop="1" thickBot="1" x14ac:dyDescent="0.35">
      <c r="A3" s="13">
        <f>'Таблица 2'!D12</f>
        <v>2.1055907997847676</v>
      </c>
      <c r="B3" s="14">
        <f>'Таблица 2'!E12</f>
        <v>0.10922735138138705</v>
      </c>
      <c r="C3" s="15">
        <f t="shared" ref="C3:C5" si="0">(A3-$L$2)*(A3-$L$2)</f>
        <v>0.2569186381282384</v>
      </c>
      <c r="D3" s="14">
        <f t="shared" ref="D3:D5" si="1">(B3-$M$2)*(B3-$M$2)</f>
        <v>5.934608780998453E-4</v>
      </c>
      <c r="E3" s="19">
        <f>A3-$L$2</f>
        <v>-0.50687142169216681</v>
      </c>
      <c r="F3" s="14">
        <f>B3-$M$2</f>
        <v>-2.436105248341798E-2</v>
      </c>
      <c r="G3" s="17">
        <f>E3*F3</f>
        <v>1.2347921306187563E-2</v>
      </c>
      <c r="H3" s="15">
        <f>B3-($O$2+$N$2*A3)</f>
        <v>-3.6862633727378913E-4</v>
      </c>
      <c r="I3" s="14">
        <f>H3*H3</f>
        <v>1.3588537653188933E-7</v>
      </c>
      <c r="J3" s="17">
        <f t="shared" ref="J3:J5" si="2">SQRT(4*$R$2+4*$Q$2*A3*A3)</f>
        <v>6.6793579404968821E-3</v>
      </c>
      <c r="K3" s="24"/>
      <c r="L3" s="15"/>
      <c r="M3" s="15"/>
      <c r="N3" s="30" t="s">
        <v>54</v>
      </c>
      <c r="O3" s="30" t="s">
        <v>55</v>
      </c>
      <c r="P3" s="15"/>
      <c r="Q3" s="30" t="s">
        <v>58</v>
      </c>
      <c r="R3" s="30" t="s">
        <v>59</v>
      </c>
    </row>
    <row r="4" spans="1:18" ht="15.6" thickTop="1" thickBot="1" x14ac:dyDescent="0.35">
      <c r="A4" s="13">
        <f>'Таблица 2'!D18</f>
        <v>3.0784425269928106</v>
      </c>
      <c r="B4" s="14">
        <f>'Таблица 2'!E18</f>
        <v>0.15820645325957713</v>
      </c>
      <c r="C4" s="15">
        <f t="shared" si="0"/>
        <v>0.21713764512866934</v>
      </c>
      <c r="D4" s="14">
        <f t="shared" si="1"/>
        <v>6.0604835600343927E-4</v>
      </c>
      <c r="E4" s="19">
        <f t="shared" ref="E4:E5" si="3">A4-$L$2</f>
        <v>0.46598030551587621</v>
      </c>
      <c r="F4" s="14">
        <f t="shared" ref="F4:F5" si="4">B4-$M$2</f>
        <v>2.4618049394772107E-2</v>
      </c>
      <c r="G4" s="17">
        <f t="shared" ref="G4:G5" si="5">E4*F4</f>
        <v>1.1471526178180837E-2</v>
      </c>
      <c r="H4" s="15">
        <f t="shared" ref="H4:H5" si="6">B4-($O$2+$N$2*A4)</f>
        <v>2.5611774008383048E-3</v>
      </c>
      <c r="I4" s="14">
        <f t="shared" ref="I4:I5" si="7">H4*H4</f>
        <v>6.5596296785648551E-6</v>
      </c>
      <c r="J4" s="17">
        <f t="shared" si="2"/>
        <v>7.9043525839178931E-3</v>
      </c>
      <c r="K4" s="15"/>
      <c r="L4" s="15"/>
      <c r="M4" s="15"/>
      <c r="N4" s="15"/>
      <c r="O4" s="15"/>
      <c r="P4" s="15"/>
      <c r="Q4" s="15">
        <f>SQRT(Q2)</f>
        <v>9.4105259637144848E-4</v>
      </c>
      <c r="R4" s="15">
        <f>SQRT(R2)</f>
        <v>2.6883499716144187E-3</v>
      </c>
    </row>
    <row r="5" spans="1:18" ht="16.8" thickTop="1" thickBot="1" x14ac:dyDescent="0.35">
      <c r="A5" s="13">
        <f>'Таблица 2'!D24</f>
        <v>4.1932451014660481</v>
      </c>
      <c r="B5" s="14">
        <f>'Таблица 2'!E24</f>
        <v>0.20688950388740782</v>
      </c>
      <c r="C5" s="15">
        <f t="shared" si="0"/>
        <v>2.4988745136666766</v>
      </c>
      <c r="D5" s="14">
        <f t="shared" si="1"/>
        <v>5.3730512645236185E-3</v>
      </c>
      <c r="E5" s="19">
        <f t="shared" si="3"/>
        <v>1.5807828799891137</v>
      </c>
      <c r="F5" s="14">
        <f t="shared" si="4"/>
        <v>7.3301100022602789E-2</v>
      </c>
      <c r="G5" s="17">
        <f t="shared" si="5"/>
        <v>0.11587312400010012</v>
      </c>
      <c r="H5" s="15">
        <f t="shared" si="6"/>
        <v>-1.524220321185793E-3</v>
      </c>
      <c r="I5" s="14">
        <f t="shared" si="7"/>
        <v>2.3232475875157219E-6</v>
      </c>
      <c r="J5" s="17">
        <f t="shared" si="2"/>
        <v>9.5495859933582786E-3</v>
      </c>
      <c r="K5" s="15"/>
      <c r="L5" s="15"/>
      <c r="M5" s="15"/>
      <c r="N5" s="15"/>
      <c r="O5" s="15"/>
      <c r="P5" s="15"/>
      <c r="Q5" s="30" t="s">
        <v>60</v>
      </c>
      <c r="R5" s="30" t="s">
        <v>61</v>
      </c>
    </row>
    <row r="6" spans="1:18" ht="15" thickTop="1" x14ac:dyDescent="0.3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1.882105192742897E-3</v>
      </c>
      <c r="R6" s="15">
        <f>R4*2</f>
        <v>5.3766999432288375E-3</v>
      </c>
    </row>
    <row r="7" spans="1:18" x14ac:dyDescent="0.3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3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3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3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3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3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3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3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3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3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3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3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3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3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3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3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3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10" t="s">
        <v>29</v>
      </c>
      <c r="E1" s="11" t="s">
        <v>30</v>
      </c>
      <c r="F1" s="10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2'!D7</f>
        <v>0.86403484578472933</v>
      </c>
      <c r="B2" s="14">
        <f>'Таблица 2'!E7</f>
        <v>6.0059761126276832E-2</v>
      </c>
      <c r="C2" s="15">
        <f>(A2-$L$2)*(A2-$L$2)</f>
        <v>1.1929441504917322</v>
      </c>
      <c r="D2" s="14">
        <f>(B2-$M$2)*(B2-$M$2)</f>
        <v>5.444297320421166E-3</v>
      </c>
      <c r="E2" s="16">
        <f>A2-$L$2</f>
        <v>-1.0922198269999186</v>
      </c>
      <c r="F2" s="14">
        <f>B2-$M$2</f>
        <v>-7.3785481772643907E-2</v>
      </c>
      <c r="G2" s="17">
        <f>E2*F2</f>
        <v>8.0589966136822774E-2</v>
      </c>
      <c r="H2" s="15">
        <f>B2-($O$2+$N$2*A2)</f>
        <v>3.1726527321248588E-3</v>
      </c>
      <c r="I2" s="18">
        <f>H2*H2</f>
        <v>1.0065725358659331E-5</v>
      </c>
      <c r="J2" s="23">
        <f>SQRT(4*$R$2+4*$Q$2*A2*A2)</f>
        <v>1.9128854391663438E-2</v>
      </c>
      <c r="K2" s="15"/>
      <c r="L2" s="15">
        <f>SUM(A:A)/COUNT(A:A)</f>
        <v>1.9562546727846479</v>
      </c>
      <c r="M2" s="15">
        <f>SUM(B:B)/COUNT(B:B)</f>
        <v>0.13384524289892075</v>
      </c>
      <c r="N2" s="15">
        <f>SUM(G:G)/SUM(C:C)</f>
        <v>7.0460298011761416E-2</v>
      </c>
      <c r="O2" s="15">
        <f>M2-N2*L2</f>
        <v>-3.9930443323863696E-3</v>
      </c>
      <c r="P2" s="15">
        <f>SUM(C:C)</f>
        <v>2.4154797427680395</v>
      </c>
      <c r="Q2" s="15">
        <f>1/P2*SUM(I:I)/(COUNT(I:I)-2)</f>
        <v>1.7668907352838024E-5</v>
      </c>
      <c r="R2" s="15">
        <f>(1/COUNT(I:I)+L2*L2/P2)*SUM(I:I)/(COUNT(I:I)-2)</f>
        <v>7.8287434992611339E-5</v>
      </c>
    </row>
    <row r="3" spans="1:18" ht="16.8" thickTop="1" thickBot="1" x14ac:dyDescent="0.35">
      <c r="A3" s="13">
        <f>'Таблица 2'!D13</f>
        <v>1.6448146727912083</v>
      </c>
      <c r="B3" s="14">
        <f>'Таблица 2'!E13</f>
        <v>0.1093460579095515</v>
      </c>
      <c r="C3" s="15">
        <f t="shared" ref="C3:C5" si="0">(A3-$L$2)*(A3-$L$2)</f>
        <v>9.6994873595913675E-2</v>
      </c>
      <c r="D3" s="14">
        <f t="shared" ref="D3:D5" si="1">(B3-$M$2)*(B3-$M$2)</f>
        <v>6.0021006514333539E-4</v>
      </c>
      <c r="E3" s="19">
        <f>A3-$L$2</f>
        <v>-0.31143999999343963</v>
      </c>
      <c r="F3" s="14">
        <f>B3-$M$2</f>
        <v>-2.4499184989369246E-2</v>
      </c>
      <c r="G3" s="17">
        <f>E3*F3</f>
        <v>7.6300261729284344E-3</v>
      </c>
      <c r="H3" s="15">
        <f>B3-($O$2+$N$2*A3)</f>
        <v>-2.5550297770485092E-3</v>
      </c>
      <c r="I3" s="14">
        <f>H3*H3</f>
        <v>6.5281771616045546E-6</v>
      </c>
      <c r="J3" s="17">
        <f t="shared" ref="J3:J5" si="2">SQRT(4*$R$2+4*$Q$2*A3*A3)</f>
        <v>2.2457886580673266E-2</v>
      </c>
      <c r="K3" s="24"/>
      <c r="L3" s="15"/>
      <c r="M3" s="15"/>
      <c r="N3" s="30" t="s">
        <v>54</v>
      </c>
      <c r="O3" s="30" t="s">
        <v>55</v>
      </c>
      <c r="P3" s="15"/>
      <c r="Q3" s="30" t="s">
        <v>58</v>
      </c>
      <c r="R3" s="30" t="s">
        <v>59</v>
      </c>
    </row>
    <row r="4" spans="1:18" ht="15.6" thickTop="1" thickBot="1" x14ac:dyDescent="0.35">
      <c r="A4" s="13">
        <f>'Таблица 2'!D19</f>
        <v>2.393122075987058</v>
      </c>
      <c r="B4" s="14">
        <f>'Таблица 2'!E19</f>
        <v>0.15846276516421462</v>
      </c>
      <c r="C4" s="15">
        <f t="shared" si="0"/>
        <v>0.19085312798081708</v>
      </c>
      <c r="D4" s="14">
        <f t="shared" si="1"/>
        <v>6.060224024822396E-4</v>
      </c>
      <c r="E4" s="19">
        <f t="shared" ref="E4:E5" si="3">A4-$L$2</f>
        <v>0.43686740320241002</v>
      </c>
      <c r="F4" s="14">
        <f t="shared" ref="F4:F5" si="4">B4-$M$2</f>
        <v>2.4617522265293873E-2</v>
      </c>
      <c r="G4" s="17">
        <f t="shared" ref="G4:G5" si="5">E4*F4</f>
        <v>1.0754593025316445E-2</v>
      </c>
      <c r="H4" s="15">
        <f t="shared" ref="H4:H5" si="6">B4-($O$2+$N$2*A4)</f>
        <v>-6.1642851559722545E-3</v>
      </c>
      <c r="I4" s="14">
        <f t="shared" ref="I4:I5" si="7">H4*H4</f>
        <v>3.7998411484139884E-5</v>
      </c>
      <c r="J4" s="17">
        <f t="shared" si="2"/>
        <v>2.679386909403346E-2</v>
      </c>
      <c r="K4" s="15"/>
      <c r="L4" s="15"/>
      <c r="M4" s="15"/>
      <c r="N4" s="15"/>
      <c r="O4" s="15"/>
      <c r="P4" s="15"/>
      <c r="Q4" s="15">
        <f>SQRT(Q2)</f>
        <v>4.2034399428132699E-3</v>
      </c>
      <c r="R4" s="15">
        <f>SQRT(R2)</f>
        <v>8.8480187043547404E-3</v>
      </c>
    </row>
    <row r="5" spans="1:18" ht="16.8" thickTop="1" thickBot="1" x14ac:dyDescent="0.35">
      <c r="A5" s="13">
        <f>'Таблица 2'!D25</f>
        <v>2.9230470965755964</v>
      </c>
      <c r="B5" s="14">
        <f>'Таблица 2'!E25</f>
        <v>0.20751238739563999</v>
      </c>
      <c r="C5" s="15">
        <f t="shared" si="0"/>
        <v>0.93468759069957685</v>
      </c>
      <c r="D5" s="14">
        <f t="shared" si="1"/>
        <v>5.4268481783005112E-3</v>
      </c>
      <c r="E5" s="19">
        <f t="shared" si="3"/>
        <v>0.96679242379094843</v>
      </c>
      <c r="F5" s="14">
        <f t="shared" si="4"/>
        <v>7.3667144496719239E-2</v>
      </c>
      <c r="G5" s="17">
        <f t="shared" si="5"/>
        <v>7.1220837181741214E-2</v>
      </c>
      <c r="H5" s="15">
        <f t="shared" si="6"/>
        <v>5.546662200895891E-3</v>
      </c>
      <c r="I5" s="14">
        <f t="shared" si="7"/>
        <v>3.0765461570847252E-5</v>
      </c>
      <c r="J5" s="17">
        <f t="shared" si="2"/>
        <v>3.0282284569158841E-2</v>
      </c>
      <c r="K5" s="15"/>
      <c r="L5" s="15"/>
      <c r="M5" s="15"/>
      <c r="N5" s="15"/>
      <c r="O5" s="15"/>
      <c r="P5" s="15"/>
      <c r="Q5" s="30" t="s">
        <v>60</v>
      </c>
      <c r="R5" s="30" t="s">
        <v>61</v>
      </c>
    </row>
    <row r="6" spans="1:18" ht="15" thickTop="1" x14ac:dyDescent="0.3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8.4068798856265399E-3</v>
      </c>
      <c r="R6" s="15">
        <f>R4*2</f>
        <v>1.7696037408709481E-2</v>
      </c>
    </row>
    <row r="7" spans="1:18" x14ac:dyDescent="0.3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3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3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3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3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3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3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3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3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3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3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3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3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3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3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3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3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10" t="s">
        <v>29</v>
      </c>
      <c r="E1" s="11" t="s">
        <v>30</v>
      </c>
      <c r="F1" s="10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2'!D8</f>
        <v>0.66416171574519545</v>
      </c>
      <c r="B2" s="14">
        <f>'Таблица 2'!E8</f>
        <v>6.0087991806783016E-2</v>
      </c>
      <c r="C2" s="15">
        <f>(A2-$L$2)*(A2-$L$2)</f>
        <v>0.85018987515002709</v>
      </c>
      <c r="D2" s="14">
        <f>(B2-$M$2)*(B2-$M$2)</f>
        <v>5.458965605040389E-3</v>
      </c>
      <c r="E2" s="16">
        <f>A2-$L$2</f>
        <v>-0.92205741423732779</v>
      </c>
      <c r="F2" s="14">
        <f>B2-$M$2</f>
        <v>-7.3884813087943785E-2</v>
      </c>
      <c r="G2" s="17">
        <f>E2*F2</f>
        <v>6.8126039707277722E-2</v>
      </c>
      <c r="H2" s="15">
        <f>B2-($O$2+$N$2*A2)</f>
        <v>-5.9356461532369259E-4</v>
      </c>
      <c r="I2" s="18">
        <f>H2*H2</f>
        <v>3.5231895256436315E-7</v>
      </c>
      <c r="J2" s="23">
        <f>SQRT(4*$R$2+4*$Q$2*A2*A2)</f>
        <v>2.5166044696581739E-3</v>
      </c>
      <c r="K2" s="15"/>
      <c r="L2" s="15">
        <f>SUM(A:A)/COUNT(A:A)</f>
        <v>1.5862191299825232</v>
      </c>
      <c r="M2" s="15">
        <f>SUM(B:B)/COUNT(B:B)</f>
        <v>0.13397280489472679</v>
      </c>
      <c r="N2" s="15">
        <f>SUM(G:G)/SUM(C:C)</f>
        <v>7.9486642958391418E-2</v>
      </c>
      <c r="O2" s="15">
        <f>M2-N2*L2</f>
        <v>7.8895712560357045E-3</v>
      </c>
      <c r="P2" s="15">
        <f>SUM(C:C)</f>
        <v>1.9159483585270225</v>
      </c>
      <c r="Q2" s="15">
        <f>1/P2*SUM(I:I)/(COUNT(I:I)-2)</f>
        <v>4.6077922750190278E-7</v>
      </c>
      <c r="R2" s="15">
        <f>(1/COUNT(I:I)+L2*L2/P2)*SUM(I:I)/(COUNT(I:I)-2)</f>
        <v>1.3800698275767433E-6</v>
      </c>
    </row>
    <row r="3" spans="1:18" ht="16.8" thickTop="1" thickBot="1" x14ac:dyDescent="0.35">
      <c r="A3" s="13">
        <f>'Таблица 2'!D14</f>
        <v>1.263808461522629</v>
      </c>
      <c r="B3" s="14">
        <f>'Таблица 2'!E14</f>
        <v>0.10944421387271716</v>
      </c>
      <c r="C3" s="15">
        <f t="shared" ref="C3:C5" si="0">(A3-$L$2)*(A3-$L$2)</f>
        <v>0.10394863913675581</v>
      </c>
      <c r="D3" s="14">
        <f t="shared" ref="D3:D5" si="1">(B3-$M$2)*(B3-$M$2)</f>
        <v>6.0165177752501153E-4</v>
      </c>
      <c r="E3" s="19">
        <f>A3-$L$2</f>
        <v>-0.32241066845989419</v>
      </c>
      <c r="F3" s="14">
        <f>B3-$M$2</f>
        <v>-2.4528591022009633E-2</v>
      </c>
      <c r="G3" s="17">
        <f>E3*F3</f>
        <v>7.9082794277854848E-3</v>
      </c>
      <c r="H3" s="15">
        <f>B3-($O$2+$N$2*A3)</f>
        <v>1.0987506678382802E-3</v>
      </c>
      <c r="I3" s="14">
        <f>H3*H3</f>
        <v>1.2072530300750668E-6</v>
      </c>
      <c r="J3" s="17">
        <f t="shared" ref="J3:J5" si="2">SQRT(4*$R$2+4*$Q$2*A3*A3)</f>
        <v>2.9093173491872488E-3</v>
      </c>
      <c r="K3" s="24"/>
      <c r="L3" s="15"/>
      <c r="M3" s="15"/>
      <c r="N3" s="30" t="s">
        <v>54</v>
      </c>
      <c r="O3" s="30" t="s">
        <v>55</v>
      </c>
      <c r="P3" s="15"/>
      <c r="Q3" s="30" t="s">
        <v>58</v>
      </c>
      <c r="R3" s="30" t="s">
        <v>59</v>
      </c>
    </row>
    <row r="4" spans="1:18" ht="15.6" thickTop="1" thickBot="1" x14ac:dyDescent="0.35">
      <c r="A4" s="13">
        <f>'Таблица 2'!D20</f>
        <v>1.9023000725274553</v>
      </c>
      <c r="B4" s="14">
        <f>'Таблица 2'!E20</f>
        <v>0.15864633406597453</v>
      </c>
      <c r="C4" s="15">
        <f t="shared" si="0"/>
        <v>9.990716224009262E-2</v>
      </c>
      <c r="D4" s="14">
        <f t="shared" si="1"/>
        <v>6.0878304176441311E-4</v>
      </c>
      <c r="E4" s="19">
        <f t="shared" ref="E4:E5" si="3">A4-$L$2</f>
        <v>0.31608094254493202</v>
      </c>
      <c r="F4" s="14">
        <f t="shared" ref="F4:F5" si="4">B4-$M$2</f>
        <v>2.4673529171247738E-2</v>
      </c>
      <c r="G4" s="17">
        <f t="shared" ref="G4:G5" si="5">E4*F4</f>
        <v>7.7988323563578602E-3</v>
      </c>
      <c r="H4" s="15">
        <f t="shared" ref="H4:H5" si="6">B4-($O$2+$N$2*A4)</f>
        <v>-4.5068385477312067E-4</v>
      </c>
      <c r="I4" s="14">
        <f t="shared" ref="I4:I5" si="7">H4*H4</f>
        <v>2.0311593695315933E-7</v>
      </c>
      <c r="J4" s="17">
        <f t="shared" si="2"/>
        <v>3.4914252757151047E-3</v>
      </c>
      <c r="K4" s="15"/>
      <c r="L4" s="15"/>
      <c r="M4" s="15"/>
      <c r="N4" s="15"/>
      <c r="O4" s="15"/>
      <c r="P4" s="15"/>
      <c r="Q4" s="15">
        <f>SQRT(Q2)</f>
        <v>6.7880720937678817E-4</v>
      </c>
      <c r="R4" s="15">
        <f>SQRT(R2)</f>
        <v>1.1747637326614843E-3</v>
      </c>
    </row>
    <row r="5" spans="1:18" ht="16.8" thickTop="1" thickBot="1" x14ac:dyDescent="0.35">
      <c r="A5" s="13">
        <f>'Таблица 2'!D26</f>
        <v>2.5146062701348129</v>
      </c>
      <c r="B5" s="14">
        <f>'Таблица 2'!E26</f>
        <v>0.20771267983343247</v>
      </c>
      <c r="C5" s="15">
        <f t="shared" si="0"/>
        <v>0.86190268200014708</v>
      </c>
      <c r="D5" s="14">
        <f t="shared" si="1"/>
        <v>5.4375691559759541E-3</v>
      </c>
      <c r="E5" s="19">
        <f t="shared" si="3"/>
        <v>0.92838714015228962</v>
      </c>
      <c r="F5" s="14">
        <f t="shared" si="4"/>
        <v>7.373987493870568E-2</v>
      </c>
      <c r="G5" s="17">
        <f t="shared" si="5"/>
        <v>6.8459151609532462E-2</v>
      </c>
      <c r="H5" s="15">
        <f t="shared" si="6"/>
        <v>-5.4502197741473912E-5</v>
      </c>
      <c r="I5" s="14">
        <f t="shared" si="7"/>
        <v>2.9704895586507239E-9</v>
      </c>
      <c r="J5" s="17">
        <f t="shared" si="2"/>
        <v>4.1442440241337237E-3</v>
      </c>
      <c r="K5" s="15"/>
      <c r="L5" s="15"/>
      <c r="M5" s="15"/>
      <c r="N5" s="15"/>
      <c r="O5" s="15"/>
      <c r="P5" s="15"/>
      <c r="Q5" s="30" t="s">
        <v>60</v>
      </c>
      <c r="R5" s="30" t="s">
        <v>61</v>
      </c>
    </row>
    <row r="6" spans="1:18" ht="15" thickTop="1" x14ac:dyDescent="0.3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1.3576144187535763E-3</v>
      </c>
      <c r="R6" s="15">
        <f>R4*2</f>
        <v>2.3495274653229687E-3</v>
      </c>
    </row>
    <row r="7" spans="1:18" x14ac:dyDescent="0.3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3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3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3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3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3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3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3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3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3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3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3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3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3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3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3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3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R9"/>
  <sheetViews>
    <sheetView workbookViewId="0">
      <selection activeCell="A2" sqref="A2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4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10" t="s">
        <v>29</v>
      </c>
      <c r="E1" s="11" t="s">
        <v>30</v>
      </c>
      <c r="F1" s="10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3'!B3</f>
        <v>5.9290000000000002E-3</v>
      </c>
      <c r="B2" s="14">
        <f>'Таблица 3'!B4</f>
        <v>1.9940620739068802E-2</v>
      </c>
      <c r="C2" s="15">
        <f>(A2-$L$2)*(A2-$L$2)</f>
        <v>2.3575043402777784E-4</v>
      </c>
      <c r="D2" s="14">
        <f>(B2-$M$2)*(B2-$M$2)</f>
        <v>7.0359098077421762E-4</v>
      </c>
      <c r="E2" s="16">
        <f>A2-$L$2</f>
        <v>-1.5354166666666669E-2</v>
      </c>
      <c r="F2" s="14">
        <f>B2-$M$2</f>
        <v>-2.6525289456935577E-2</v>
      </c>
      <c r="G2" s="17">
        <f>E2*F2</f>
        <v>4.0727371520336505E-4</v>
      </c>
      <c r="H2" s="15">
        <f>B2-($O$2+$N$2*A2)</f>
        <v>1.6267028489935047E-3</v>
      </c>
      <c r="I2" s="18">
        <f>H2*H2</f>
        <v>2.6461621589235847E-6</v>
      </c>
      <c r="J2" s="23">
        <f>SQRT(4*$R$2+4*$Q$2*A2*A2)</f>
        <v>6.5072568452043773E-3</v>
      </c>
      <c r="K2" s="15"/>
      <c r="L2" s="15">
        <f>SUM(A:A)/COUNT(A:A)</f>
        <v>2.1283166666666669E-2</v>
      </c>
      <c r="M2" s="15">
        <f>SUM(B:B)/COUNT(B:B)</f>
        <v>4.6465910196004379E-2</v>
      </c>
      <c r="N2" s="15">
        <f>SUM(G:G)/SUM(C:C)</f>
        <v>1.8335083184322876</v>
      </c>
      <c r="O2" s="15">
        <f>M2-N2*L2</f>
        <v>7.4430470700902612E-3</v>
      </c>
      <c r="P2" s="15">
        <f>SUM(C:C)</f>
        <v>8.6596927083333294E-4</v>
      </c>
      <c r="Q2" s="15">
        <f>1/P2*SUM(I:I)/(COUNT(I:I)-2)</f>
        <v>1.6738119470752075E-2</v>
      </c>
      <c r="R2" s="15">
        <f>(1/COUNT(I:I)+L2*L2/P2)*SUM(I:I)/(COUNT(I:I)-2)</f>
        <v>9.9977021123465619E-6</v>
      </c>
    </row>
    <row r="3" spans="1:18" ht="16.8" thickTop="1" thickBot="1" x14ac:dyDescent="0.35">
      <c r="A3" s="13">
        <f>'Таблица 3'!C3</f>
        <v>1.0404000000000002E-2</v>
      </c>
      <c r="B3" s="14">
        <f>'Таблица 3'!C4</f>
        <v>2.3471096415975178E-2</v>
      </c>
      <c r="C3" s="15">
        <f>(A3-$L$2)*(A3-$L$2)</f>
        <v>1.1835626736111112E-4</v>
      </c>
      <c r="D3" s="14">
        <f>(B3-$M$2)*(B3-$M$2)</f>
        <v>5.287614607782208E-4</v>
      </c>
      <c r="E3" s="19">
        <f>A3-$L$2</f>
        <v>-1.0879166666666667E-2</v>
      </c>
      <c r="F3" s="14">
        <f>B3-$M$2</f>
        <v>-2.29948137800292E-2</v>
      </c>
      <c r="G3" s="17">
        <f>E3*F3</f>
        <v>2.5016441158190103E-4</v>
      </c>
      <c r="H3" s="15">
        <f>B3-($O$2+$N$2*A3)</f>
        <v>-3.0477711990846076E-3</v>
      </c>
      <c r="I3" s="14">
        <f>H3*H3</f>
        <v>9.2889092819696276E-6</v>
      </c>
      <c r="J3" s="17">
        <f t="shared" ref="J3:J7" si="0">SQRT(4*$R$2+4*$Q$2*A3*A3)</f>
        <v>6.8729877036563898E-3</v>
      </c>
      <c r="K3" s="24"/>
      <c r="L3" s="15"/>
      <c r="M3" s="15"/>
      <c r="N3" s="30" t="s">
        <v>57</v>
      </c>
      <c r="O3" s="30" t="s">
        <v>56</v>
      </c>
      <c r="P3" s="15"/>
      <c r="Q3" s="30" t="s">
        <v>58</v>
      </c>
      <c r="R3" s="30" t="s">
        <v>59</v>
      </c>
    </row>
    <row r="4" spans="1:18" ht="15.6" thickTop="1" thickBot="1" x14ac:dyDescent="0.35">
      <c r="A4" s="13">
        <f>'Таблица 3'!D3</f>
        <v>1.6129000000000001E-2</v>
      </c>
      <c r="B4" s="14">
        <f>'Таблица 3'!D4</f>
        <v>3.810245923233882E-2</v>
      </c>
      <c r="C4" s="15">
        <f t="shared" ref="C4:C7" si="1">(A4-$L$2)*(A4-$L$2)</f>
        <v>2.6565434027777793E-5</v>
      </c>
      <c r="D4" s="14">
        <f t="shared" ref="D4:D7" si="2">(B4-$M$2)*(B4-$M$2)</f>
        <v>6.9947312021638358E-5</v>
      </c>
      <c r="E4" s="19">
        <f t="shared" ref="E4:E7" si="3">A4-$L$2</f>
        <v>-5.154166666666668E-3</v>
      </c>
      <c r="F4" s="14">
        <f t="shared" ref="F4:F7" si="4">B4-$M$2</f>
        <v>-8.3634509636655585E-3</v>
      </c>
      <c r="G4" s="17">
        <f t="shared" ref="G4:G7" si="5">E4*F4</f>
        <v>4.3106620175226241E-5</v>
      </c>
      <c r="H4" s="15">
        <f t="shared" ref="H4:H7" si="6">B4-($O$2+$N$2*A4)</f>
        <v>1.0867564942541874E-3</v>
      </c>
      <c r="I4" s="14">
        <f t="shared" ref="I4:I7" si="7">H4*H4</f>
        <v>1.1810396778036518E-6</v>
      </c>
      <c r="J4" s="17">
        <f t="shared" si="0"/>
        <v>7.5768157409509367E-3</v>
      </c>
      <c r="K4" s="15"/>
      <c r="L4" s="15"/>
      <c r="M4" s="15"/>
      <c r="N4" s="15"/>
      <c r="O4" s="15"/>
      <c r="P4" s="15"/>
      <c r="Q4" s="15">
        <f>SQRT(Q2)</f>
        <v>0.12937588442500433</v>
      </c>
      <c r="R4" s="15">
        <f>SQRT(R2)</f>
        <v>3.161914311354209E-3</v>
      </c>
    </row>
    <row r="5" spans="1:18" ht="16.8" thickTop="1" thickBot="1" x14ac:dyDescent="0.35">
      <c r="A5" s="13">
        <f>'Таблица 3'!E3</f>
        <v>2.3104E-2</v>
      </c>
      <c r="B5" s="14">
        <f>'Таблица 3'!E4</f>
        <v>4.7334343818490665E-2</v>
      </c>
      <c r="C5" s="15">
        <f t="shared" si="1"/>
        <v>3.3154340277777676E-6</v>
      </c>
      <c r="D5" s="14">
        <f t="shared" si="2"/>
        <v>7.5417695666465401E-7</v>
      </c>
      <c r="E5" s="19">
        <f t="shared" si="3"/>
        <v>1.8208333333333306E-3</v>
      </c>
      <c r="F5" s="14">
        <f t="shared" si="4"/>
        <v>8.6843362248628653E-4</v>
      </c>
      <c r="G5" s="17">
        <f t="shared" si="5"/>
        <v>1.5812728876104444E-6</v>
      </c>
      <c r="H5" s="15">
        <f t="shared" si="6"/>
        <v>-2.4700794406591689E-3</v>
      </c>
      <c r="I5" s="14">
        <f t="shared" si="7"/>
        <v>6.101292443167113E-6</v>
      </c>
      <c r="J5" s="17">
        <f t="shared" si="0"/>
        <v>8.7022809689006678E-3</v>
      </c>
      <c r="K5" s="15"/>
      <c r="L5" s="15"/>
      <c r="M5" s="15"/>
      <c r="N5" s="15"/>
      <c r="O5" s="15"/>
      <c r="P5" s="15"/>
      <c r="Q5" s="30" t="s">
        <v>60</v>
      </c>
      <c r="R5" s="30" t="s">
        <v>61</v>
      </c>
    </row>
    <row r="6" spans="1:18" ht="15" thickTop="1" x14ac:dyDescent="0.3">
      <c r="A6" s="13">
        <f>'Таблица 3'!F3</f>
        <v>3.1328999999999996E-2</v>
      </c>
      <c r="B6" s="14">
        <f>'Таблица 3'!F4</f>
        <v>7.0460298011761416E-2</v>
      </c>
      <c r="C6" s="15">
        <f t="shared" si="1"/>
        <v>1.0091876736111099E-4</v>
      </c>
      <c r="D6" s="14">
        <f t="shared" si="2"/>
        <v>5.7573064665294971E-4</v>
      </c>
      <c r="E6" s="19">
        <f t="shared" si="3"/>
        <v>1.0045833333333327E-2</v>
      </c>
      <c r="F6" s="14">
        <f t="shared" si="4"/>
        <v>2.3994387815757037E-2</v>
      </c>
      <c r="G6" s="17">
        <f t="shared" si="5"/>
        <v>2.4104362093245907E-4</v>
      </c>
      <c r="H6" s="15">
        <f t="shared" si="6"/>
        <v>5.5752688335060224E-3</v>
      </c>
      <c r="I6" s="14">
        <f t="shared" si="7"/>
        <v>3.1083622565863601E-5</v>
      </c>
      <c r="J6" s="17">
        <f t="shared" si="0"/>
        <v>1.0281297746003339E-2</v>
      </c>
      <c r="K6" s="15"/>
      <c r="L6" s="15"/>
      <c r="M6" s="15"/>
      <c r="N6" s="15"/>
      <c r="O6" s="15"/>
      <c r="P6" s="15"/>
      <c r="Q6" s="15">
        <f>Q4*2</f>
        <v>0.25875176885000867</v>
      </c>
      <c r="R6" s="15">
        <f>R4*2</f>
        <v>6.3238286227084179E-3</v>
      </c>
    </row>
    <row r="7" spans="1:18" x14ac:dyDescent="0.3">
      <c r="A7" s="13">
        <f>'Таблица 3'!G3</f>
        <v>4.0803999999999993E-2</v>
      </c>
      <c r="B7" s="14">
        <f>'Таблица 3'!G4</f>
        <v>7.9486642958391418E-2</v>
      </c>
      <c r="C7" s="15">
        <f t="shared" si="1"/>
        <v>3.8106293402777742E-4</v>
      </c>
      <c r="D7" s="14">
        <f t="shared" si="2"/>
        <v>1.0903687921649807E-3</v>
      </c>
      <c r="E7" s="19">
        <f t="shared" si="3"/>
        <v>1.9520833333333324E-2</v>
      </c>
      <c r="F7" s="14">
        <f t="shared" si="4"/>
        <v>3.3020732762387039E-2</v>
      </c>
      <c r="G7" s="17">
        <f t="shared" si="5"/>
        <v>6.4459222079909671E-4</v>
      </c>
      <c r="H7" s="15">
        <f t="shared" si="6"/>
        <v>-2.7708775370098859E-3</v>
      </c>
      <c r="I7" s="14">
        <f t="shared" si="7"/>
        <v>7.6777623251059723E-6</v>
      </c>
      <c r="J7" s="17">
        <f t="shared" si="0"/>
        <v>1.2307088834999844E-2</v>
      </c>
      <c r="K7" s="15"/>
      <c r="L7" s="15"/>
      <c r="M7" s="15"/>
      <c r="N7" s="15"/>
      <c r="O7" s="15"/>
      <c r="P7" s="15"/>
      <c r="Q7" s="15"/>
      <c r="R7" s="15"/>
    </row>
    <row r="8" spans="1:18" x14ac:dyDescent="0.3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3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Погрешности косвенные (Шаблон)</vt:lpstr>
      <vt:lpstr>МНК (Шаблон)</vt:lpstr>
      <vt:lpstr>предисловие</vt:lpstr>
      <vt:lpstr>Таблица 1</vt:lpstr>
      <vt:lpstr>Таблица 2</vt:lpstr>
      <vt:lpstr>Таблица 3</vt:lpstr>
      <vt:lpstr>График 1</vt:lpstr>
      <vt:lpstr>График 2</vt:lpstr>
      <vt:lpstr>Печать 1</vt:lpstr>
      <vt:lpstr>Печать 2</vt:lpstr>
      <vt:lpstr>Печать 3</vt:lpstr>
      <vt:lpstr>Параметры установки</vt:lpstr>
      <vt:lpstr>Погрешности прямые (t)</vt:lpstr>
      <vt:lpstr>Погрешности прямые (a)</vt:lpstr>
      <vt:lpstr>Погрешности косвенные (a)</vt:lpstr>
      <vt:lpstr>Погрешности прямые (e)</vt:lpstr>
      <vt:lpstr>Погрешности косвенные (e)</vt:lpstr>
      <vt:lpstr>Погрешности прямые (M)</vt:lpstr>
      <vt:lpstr>Погрешности косвенные (M)</vt:lpstr>
      <vt:lpstr>МНК рис.1</vt:lpstr>
      <vt:lpstr>МНК рис.2</vt:lpstr>
      <vt:lpstr>МНК рис.3</vt:lpstr>
      <vt:lpstr>МНК рис.4</vt:lpstr>
      <vt:lpstr>МНК рис.5</vt:lpstr>
      <vt:lpstr>МНК рис.6</vt:lpstr>
      <vt:lpstr>МНК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cp:lastPrinted>2021-10-21T21:58:13Z</cp:lastPrinted>
  <dcterms:created xsi:type="dcterms:W3CDTF">2015-06-05T18:19:34Z</dcterms:created>
  <dcterms:modified xsi:type="dcterms:W3CDTF">2025-10-30T10:33:51Z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2025-10-30T09:31:49Z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f70c1526-5f0b-419f-a71d-b3b50aa77a0b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