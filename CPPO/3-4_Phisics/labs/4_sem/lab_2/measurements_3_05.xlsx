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w6527-my.sharepoint.com/personal/colnsesolotoe2022_w6527_onmicrosoft_com/Documents/github_file/ITMO/CPPO/3-4 Physics/labs/lab_2/"/>
    </mc:Choice>
  </mc:AlternateContent>
  <xr:revisionPtr revIDLastSave="0" documentId="8_{4E63C0C3-5436-41C5-BC8C-B5C2541EED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Полупроводник" sheetId="1" r:id="rId1"/>
    <sheet name="Металл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1" i="1"/>
  <c r="H1" i="1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G22" i="1"/>
  <c r="E22" i="1"/>
  <c r="F22" i="1" s="1"/>
  <c r="G21" i="1"/>
  <c r="E21" i="1"/>
  <c r="F21" i="1" s="1"/>
  <c r="G20" i="1"/>
  <c r="E20" i="1"/>
  <c r="H20" i="1" s="1"/>
  <c r="G19" i="1"/>
  <c r="E19" i="1"/>
  <c r="H19" i="1" s="1"/>
  <c r="G18" i="1"/>
  <c r="E18" i="1"/>
  <c r="H18" i="1" s="1"/>
  <c r="G17" i="1"/>
  <c r="E17" i="1"/>
  <c r="F17" i="1" s="1"/>
  <c r="G16" i="1"/>
  <c r="E16" i="1"/>
  <c r="F16" i="1" s="1"/>
  <c r="G15" i="1"/>
  <c r="E15" i="1"/>
  <c r="F15" i="1" s="1"/>
  <c r="G14" i="1"/>
  <c r="E14" i="1"/>
  <c r="F14" i="1" s="1"/>
  <c r="G13" i="1"/>
  <c r="E13" i="1"/>
  <c r="H13" i="1" s="1"/>
  <c r="G12" i="1"/>
  <c r="E12" i="1"/>
  <c r="F12" i="1" s="1"/>
  <c r="G11" i="1"/>
  <c r="E11" i="1"/>
  <c r="F11" i="1" s="1"/>
  <c r="G10" i="1"/>
  <c r="E10" i="1"/>
  <c r="F10" i="1" s="1"/>
  <c r="G9" i="1"/>
  <c r="E9" i="1"/>
  <c r="F9" i="1" s="1"/>
  <c r="G8" i="1"/>
  <c r="E8" i="1"/>
  <c r="F8" i="1" s="1"/>
  <c r="G7" i="1"/>
  <c r="E7" i="1"/>
  <c r="F7" i="1" s="1"/>
  <c r="G6" i="1"/>
  <c r="E6" i="1"/>
  <c r="F6" i="1" s="1"/>
  <c r="G5" i="1"/>
  <c r="E5" i="1"/>
  <c r="F5" i="1" s="1"/>
  <c r="G4" i="1"/>
  <c r="E4" i="1"/>
  <c r="F4" i="1" s="1"/>
  <c r="G3" i="1"/>
  <c r="E3" i="1"/>
  <c r="F3" i="1" s="1"/>
  <c r="E2" i="1"/>
  <c r="F2" i="1" s="1"/>
  <c r="F13" i="1" l="1"/>
  <c r="H9" i="1"/>
  <c r="H8" i="1"/>
  <c r="H17" i="1"/>
  <c r="H16" i="1"/>
  <c r="H15" i="1"/>
  <c r="H7" i="1"/>
  <c r="F20" i="1"/>
  <c r="F18" i="1"/>
  <c r="H22" i="1"/>
  <c r="H14" i="1"/>
  <c r="H6" i="1"/>
  <c r="H5" i="1"/>
  <c r="H12" i="1"/>
  <c r="H4" i="1"/>
  <c r="F19" i="1"/>
  <c r="H11" i="1"/>
  <c r="H3" i="1"/>
  <c r="H10" i="1"/>
  <c r="H2" i="1"/>
</calcChain>
</file>

<file path=xl/sharedStrings.xml><?xml version="1.0" encoding="utf-8"?>
<sst xmlns="http://schemas.openxmlformats.org/spreadsheetml/2006/main" count="13" uniqueCount="8">
  <si>
    <t>№</t>
  </si>
  <si>
    <t>T, K</t>
  </si>
  <si>
    <t>I, мкА</t>
  </si>
  <si>
    <t>U, В</t>
  </si>
  <si>
    <t>R, Ом</t>
  </si>
  <si>
    <t>ln R</t>
  </si>
  <si>
    <t>(10^3)/T, 1/K</t>
  </si>
  <si>
    <t>t,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</si>
</sst>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</c:spPr>
      <c:txPr>
        <a:bodyPr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294619422572178E-2"/>
          <c:y val="0.18451117507902559"/>
          <c:w val="0.87924704724409453"/>
          <c:h val="0.71542954413259574"/>
        </c:manualLayout>
      </c:layout>
      <c:scatterChart>
        <c:scatterStyle val="lineMarker"/>
        <c:varyColors val="0"/>
        <c:ser>
          <c:idx val="0"/>
          <c:order val="0"/>
          <c:tx>
            <c:strRef>
              <c:f>Металл!$F$1</c:f>
              <c:strCache>
                <c:ptCount val="1"/>
                <c:pt idx="0">
                  <c:v>t, °C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dLbls>
            <c:delete val="1"/>
          </c:dLbls>
          <c:xVal>
            <c:numRef>
              <c:f>Полупроводник!$B$2:$B$22</c:f>
              <c:numCache>
                <c:formatCode>General</c:formatCode>
                <c:ptCount val="21"/>
                <c:pt idx="0">
                  <c:v>293</c:v>
                </c:pt>
                <c:pt idx="1">
                  <c:v>298</c:v>
                </c:pt>
                <c:pt idx="2">
                  <c:v>301</c:v>
                </c:pt>
                <c:pt idx="3">
                  <c:v>304</c:v>
                </c:pt>
                <c:pt idx="4">
                  <c:v>307</c:v>
                </c:pt>
                <c:pt idx="5">
                  <c:v>310</c:v>
                </c:pt>
                <c:pt idx="6">
                  <c:v>313</c:v>
                </c:pt>
                <c:pt idx="7">
                  <c:v>316</c:v>
                </c:pt>
                <c:pt idx="8">
                  <c:v>319</c:v>
                </c:pt>
                <c:pt idx="9">
                  <c:v>322</c:v>
                </c:pt>
                <c:pt idx="10">
                  <c:v>325</c:v>
                </c:pt>
                <c:pt idx="11">
                  <c:v>328</c:v>
                </c:pt>
                <c:pt idx="12">
                  <c:v>331</c:v>
                </c:pt>
                <c:pt idx="13">
                  <c:v>334</c:v>
                </c:pt>
                <c:pt idx="14">
                  <c:v>337</c:v>
                </c:pt>
                <c:pt idx="15">
                  <c:v>340</c:v>
                </c:pt>
                <c:pt idx="16">
                  <c:v>343</c:v>
                </c:pt>
                <c:pt idx="17">
                  <c:v>346</c:v>
                </c:pt>
                <c:pt idx="18">
                  <c:v>349</c:v>
                </c:pt>
                <c:pt idx="19">
                  <c:v>352</c:v>
                </c:pt>
                <c:pt idx="20">
                  <c:v>355</c:v>
                </c:pt>
              </c:numCache>
            </c:numRef>
          </c:xVal>
          <c:yVal>
            <c:numRef>
              <c:f>Полупроводник!$E$2:$E$22</c:f>
              <c:numCache>
                <c:formatCode>General</c:formatCode>
                <c:ptCount val="21"/>
                <c:pt idx="0">
                  <c:v>688.16169393647749</c:v>
                </c:pt>
                <c:pt idx="1">
                  <c:v>655.96330275229366</c:v>
                </c:pt>
                <c:pt idx="2">
                  <c:v>475.40983606557376</c:v>
                </c:pt>
                <c:pt idx="3">
                  <c:v>428.57142857142861</c:v>
                </c:pt>
                <c:pt idx="4">
                  <c:v>375.93984962406017</c:v>
                </c:pt>
                <c:pt idx="5">
                  <c:v>339.84092552422277</c:v>
                </c:pt>
                <c:pt idx="6">
                  <c:v>291.06029106029109</c:v>
                </c:pt>
                <c:pt idx="7">
                  <c:v>257.48502994011977</c:v>
                </c:pt>
                <c:pt idx="8">
                  <c:v>231.76242737249842</c:v>
                </c:pt>
                <c:pt idx="9">
                  <c:v>209.69773299748115</c:v>
                </c:pt>
                <c:pt idx="10">
                  <c:v>180.20769700671963</c:v>
                </c:pt>
                <c:pt idx="11">
                  <c:v>160.71428571428572</c:v>
                </c:pt>
                <c:pt idx="12">
                  <c:v>143.6046511627907</c:v>
                </c:pt>
                <c:pt idx="13">
                  <c:v>130.28571428571431</c:v>
                </c:pt>
                <c:pt idx="14">
                  <c:v>115.7303370786517</c:v>
                </c:pt>
                <c:pt idx="15">
                  <c:v>103.98230088495575</c:v>
                </c:pt>
                <c:pt idx="16">
                  <c:v>93.23882224645584</c:v>
                </c:pt>
                <c:pt idx="17">
                  <c:v>82.169709989258877</c:v>
                </c:pt>
                <c:pt idx="18">
                  <c:v>74.92029755579172</c:v>
                </c:pt>
                <c:pt idx="19">
                  <c:v>67.89473684210526</c:v>
                </c:pt>
                <c:pt idx="20">
                  <c:v>60.479666319082384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B0219572-6ED6-46AD-95C2-F6E3180B824C}"/>
            </c:ext>
          </c:extLst>
        </c:ser>
        <c:dLbls>
          <c:showLegendKey val="1"/>
          <c:showVal val="0"/>
          <c:showCatName val="0"/>
          <c:showSerName val="0"/>
          <c:showPercent val="0"/>
          <c:showBubbleSize val="0"/>
        </c:dLbls>
        <c:axId val="41"/>
        <c:axId val="18467"/>
      </c:scatterChart>
      <c:valAx>
        <c:axId val="41"/>
        <c:scaling>
          <c:orientation val="minMax"/>
          <c:min val="2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T,</a:t>
                </a:r>
                <a:r>
                  <a:rPr lang="en-US" baseline="0"/>
                  <a:t> K</a:t>
                </a:r>
              </a:p>
              <a:p>
                <a:pPr>
                  <a:defRPr/>
                </a:pPr>
                <a:endParaRPr lang="ru-RU"/>
              </a:p>
            </c:rich>
          </c:tx>
          <c:layout>
            <c:manualLayout>
              <c:xMode val="edge"/>
              <c:yMode val="edge"/>
              <c:x val="0.434705749671916"/>
              <c:y val="0.9282297344257847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"/>
        <c:crosses val="autoZero"/>
        <c:crossBetween val="midCat"/>
      </c:valAx>
      <c:valAx>
        <c:axId val="184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Полупроводник!$H$1</c:f>
              <c:strCache>
                <c:ptCount val="1"/>
                <c:pt idx="0">
                  <c:v>R, Ом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Полупроводник!$G$2:$G$22</c:f>
              <c:numCache>
                <c:formatCode>General</c:formatCode>
                <c:ptCount val="21"/>
                <c:pt idx="0">
                  <c:v>3.4129692832764507</c:v>
                </c:pt>
                <c:pt idx="1">
                  <c:v>3.3557046979865772</c:v>
                </c:pt>
                <c:pt idx="2">
                  <c:v>3.3222591362126246</c:v>
                </c:pt>
                <c:pt idx="3">
                  <c:v>3.2894736842105261</c:v>
                </c:pt>
                <c:pt idx="4">
                  <c:v>3.2573289902280131</c:v>
                </c:pt>
                <c:pt idx="5">
                  <c:v>3.225806451612903</c:v>
                </c:pt>
                <c:pt idx="6">
                  <c:v>3.1948881789137382</c:v>
                </c:pt>
                <c:pt idx="7">
                  <c:v>3.1645569620253164</c:v>
                </c:pt>
                <c:pt idx="8">
                  <c:v>3.134796238244514</c:v>
                </c:pt>
                <c:pt idx="9">
                  <c:v>3.1055900621118013</c:v>
                </c:pt>
                <c:pt idx="10">
                  <c:v>3.0769230769230771</c:v>
                </c:pt>
                <c:pt idx="11">
                  <c:v>3.0487804878048781</c:v>
                </c:pt>
                <c:pt idx="12">
                  <c:v>3.0211480362537766</c:v>
                </c:pt>
                <c:pt idx="13">
                  <c:v>2.9940119760479043</c:v>
                </c:pt>
                <c:pt idx="14">
                  <c:v>2.9673590504451037</c:v>
                </c:pt>
                <c:pt idx="15">
                  <c:v>2.9411764705882355</c:v>
                </c:pt>
                <c:pt idx="16">
                  <c:v>2.9154518950437316</c:v>
                </c:pt>
                <c:pt idx="17">
                  <c:v>2.8901734104046244</c:v>
                </c:pt>
                <c:pt idx="18">
                  <c:v>2.8653295128939829</c:v>
                </c:pt>
                <c:pt idx="19">
                  <c:v>2.8409090909090908</c:v>
                </c:pt>
                <c:pt idx="20">
                  <c:v>2.816901408450704</c:v>
                </c:pt>
              </c:numCache>
            </c:numRef>
          </c:xVal>
          <c:yVal>
            <c:numRef>
              <c:f>Полупроводник!$H$2:$H$22</c:f>
              <c:numCache>
                <c:formatCode>General</c:formatCode>
                <c:ptCount val="21"/>
                <c:pt idx="0">
                  <c:v>688.16169393647749</c:v>
                </c:pt>
                <c:pt idx="1">
                  <c:v>655.96330275229366</c:v>
                </c:pt>
                <c:pt idx="2">
                  <c:v>475.40983606557376</c:v>
                </c:pt>
                <c:pt idx="3">
                  <c:v>428.57142857142861</c:v>
                </c:pt>
                <c:pt idx="4">
                  <c:v>375.93984962406017</c:v>
                </c:pt>
                <c:pt idx="5">
                  <c:v>339.84092552422277</c:v>
                </c:pt>
                <c:pt idx="6">
                  <c:v>291.06029106029109</c:v>
                </c:pt>
                <c:pt idx="7">
                  <c:v>257.48502994011977</c:v>
                </c:pt>
                <c:pt idx="8">
                  <c:v>231.76242737249842</c:v>
                </c:pt>
                <c:pt idx="9">
                  <c:v>209.69773299748115</c:v>
                </c:pt>
                <c:pt idx="10">
                  <c:v>180.20769700671963</c:v>
                </c:pt>
                <c:pt idx="11">
                  <c:v>160.71428571428572</c:v>
                </c:pt>
                <c:pt idx="12">
                  <c:v>143.6046511627907</c:v>
                </c:pt>
                <c:pt idx="13">
                  <c:v>130.28571428571431</c:v>
                </c:pt>
                <c:pt idx="14">
                  <c:v>115.7303370786517</c:v>
                </c:pt>
                <c:pt idx="15">
                  <c:v>103.98230088495575</c:v>
                </c:pt>
                <c:pt idx="16">
                  <c:v>93.23882224645584</c:v>
                </c:pt>
                <c:pt idx="17">
                  <c:v>82.169709989258877</c:v>
                </c:pt>
                <c:pt idx="18">
                  <c:v>74.92029755579172</c:v>
                </c:pt>
                <c:pt idx="19">
                  <c:v>67.89473684210526</c:v>
                </c:pt>
                <c:pt idx="20">
                  <c:v>60.479666319082384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E8-4F49-8CD5-3A31FC3C7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495888"/>
        <c:axId val="601489648"/>
      </c:scatterChart>
      <c:valAx>
        <c:axId val="601495888"/>
        <c:scaling>
          <c:logBase val="2"/>
          <c:orientation val="minMax"/>
          <c:max val="3.5"/>
          <c:min val="2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489648"/>
        <c:crosses val="autoZero"/>
        <c:crossBetween val="midCat"/>
      </c:valAx>
      <c:valAx>
        <c:axId val="601489648"/>
        <c:scaling>
          <c:logBase val="2"/>
          <c:orientation val="minMax"/>
          <c:min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49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</c:spPr>
      <c:txPr>
        <a:bodyPr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Металл!$F$1</c:f>
              <c:strCache>
                <c:ptCount val="1"/>
                <c:pt idx="0">
                  <c:v>t, °C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dLbls>
            <c:delete val="1"/>
          </c:dLbls>
          <c:xVal>
            <c:numRef>
              <c:f>Металл!$F$2:$F$22</c:f>
              <c:numCache>
                <c:formatCode>General</c:formatCode>
                <c:ptCount val="21"/>
                <c:pt idx="0">
                  <c:v>21.850000000000023</c:v>
                </c:pt>
                <c:pt idx="1">
                  <c:v>24.850000000000023</c:v>
                </c:pt>
                <c:pt idx="2">
                  <c:v>27.850000000000023</c:v>
                </c:pt>
                <c:pt idx="3">
                  <c:v>30.850000000000023</c:v>
                </c:pt>
                <c:pt idx="4">
                  <c:v>33.850000000000023</c:v>
                </c:pt>
                <c:pt idx="5">
                  <c:v>36.850000000000023</c:v>
                </c:pt>
                <c:pt idx="6">
                  <c:v>39.850000000000023</c:v>
                </c:pt>
                <c:pt idx="7">
                  <c:v>42.850000000000023</c:v>
                </c:pt>
                <c:pt idx="8">
                  <c:v>45.850000000000023</c:v>
                </c:pt>
                <c:pt idx="9">
                  <c:v>48.850000000000023</c:v>
                </c:pt>
                <c:pt idx="10">
                  <c:v>51.850000000000023</c:v>
                </c:pt>
                <c:pt idx="11">
                  <c:v>54.850000000000023</c:v>
                </c:pt>
                <c:pt idx="12">
                  <c:v>57.850000000000023</c:v>
                </c:pt>
                <c:pt idx="13">
                  <c:v>60.850000000000023</c:v>
                </c:pt>
                <c:pt idx="14">
                  <c:v>63.850000000000023</c:v>
                </c:pt>
                <c:pt idx="15">
                  <c:v>66.850000000000023</c:v>
                </c:pt>
                <c:pt idx="16">
                  <c:v>69.850000000000023</c:v>
                </c:pt>
                <c:pt idx="17">
                  <c:v>72.850000000000023</c:v>
                </c:pt>
                <c:pt idx="18">
                  <c:v>75.850000000000023</c:v>
                </c:pt>
                <c:pt idx="19">
                  <c:v>78.850000000000023</c:v>
                </c:pt>
                <c:pt idx="20">
                  <c:v>81.850000000000023</c:v>
                </c:pt>
              </c:numCache>
            </c:numRef>
          </c:xVal>
          <c:yVal>
            <c:numRef>
              <c:f>Металл!$E$2:$E$22</c:f>
              <c:numCache>
                <c:formatCode>General</c:formatCode>
                <c:ptCount val="21"/>
                <c:pt idx="0">
                  <c:v>1141.8439716312057</c:v>
                </c:pt>
                <c:pt idx="1">
                  <c:v>1152.0190023752969</c:v>
                </c:pt>
                <c:pt idx="2">
                  <c:v>1163.679808841099</c:v>
                </c:pt>
                <c:pt idx="3">
                  <c:v>1176.8953068592057</c:v>
                </c:pt>
                <c:pt idx="4">
                  <c:v>1188.8619854721549</c:v>
                </c:pt>
                <c:pt idx="5">
                  <c:v>1202.1924482338611</c:v>
                </c:pt>
                <c:pt idx="6">
                  <c:v>1214.4607843137253</c:v>
                </c:pt>
                <c:pt idx="7">
                  <c:v>1226.8803945745992</c:v>
                </c:pt>
                <c:pt idx="8">
                  <c:v>1240.9937888198758</c:v>
                </c:pt>
                <c:pt idx="9">
                  <c:v>1252.1847690387017</c:v>
                </c:pt>
                <c:pt idx="10">
                  <c:v>1263.8190954773868</c:v>
                </c:pt>
                <c:pt idx="11">
                  <c:v>1276.8647281921619</c:v>
                </c:pt>
                <c:pt idx="12">
                  <c:v>1290.0763358778627</c:v>
                </c:pt>
                <c:pt idx="13">
                  <c:v>1303.4571062740076</c:v>
                </c:pt>
                <c:pt idx="14">
                  <c:v>1317.0103092783504</c:v>
                </c:pt>
                <c:pt idx="15">
                  <c:v>1332.8998699609883</c:v>
                </c:pt>
                <c:pt idx="16">
                  <c:v>1344.6475195822454</c:v>
                </c:pt>
                <c:pt idx="17">
                  <c:v>1355.6430446194224</c:v>
                </c:pt>
                <c:pt idx="18">
                  <c:v>1369.8811096433287</c:v>
                </c:pt>
                <c:pt idx="19">
                  <c:v>1384.3085106382978</c:v>
                </c:pt>
                <c:pt idx="20">
                  <c:v>1398.9290495314592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B0219572-6ED6-46AD-95C2-F6E3180B824C}"/>
            </c:ext>
          </c:extLst>
        </c:ser>
        <c:dLbls>
          <c:showLegendKey val="1"/>
          <c:showVal val="0"/>
          <c:showCatName val="0"/>
          <c:showSerName val="0"/>
          <c:showPercent val="0"/>
          <c:showBubbleSize val="0"/>
        </c:dLbls>
        <c:axId val="41"/>
        <c:axId val="18467"/>
      </c:scatterChart>
      <c:valAx>
        <c:axId val="41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"/>
        <c:crosses val="autoZero"/>
        <c:crossBetween val="midCat"/>
      </c:valAx>
      <c:valAx>
        <c:axId val="18467"/>
        <c:scaling>
          <c:orientation val="minMax"/>
          <c:min val="1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376518</xdr:colOff>
      <xdr:row>2</xdr:row>
      <xdr:rowOff>149296</xdr:rowOff>
    </xdr:from>
    <xdr:to>
      <xdr:col>18</xdr:col>
      <xdr:colOff>81027</xdr:colOff>
      <xdr:row>20</xdr:row>
      <xdr:rowOff>143436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542365</xdr:colOff>
      <xdr:row>22</xdr:row>
      <xdr:rowOff>62752</xdr:rowOff>
    </xdr:from>
    <xdr:to>
      <xdr:col>16</xdr:col>
      <xdr:colOff>237565</xdr:colOff>
      <xdr:row>37</xdr:row>
      <xdr:rowOff>116541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991B80B-68D1-B6EA-C608-68E57A319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545522</xdr:colOff>
      <xdr:row>5</xdr:row>
      <xdr:rowOff>38966</xdr:rowOff>
    </xdr:from>
    <xdr:to>
      <xdr:col>14</xdr:col>
      <xdr:colOff>545522</xdr:colOff>
      <xdr:row>20</xdr:row>
      <xdr:rowOff>38966</xdr:rowOff>
    </xdr:to>
    <xdr:graphicFrame macro="">
      <xdr:nvGraphicFramePr>
        <xdr:cNvPr id="659" name="Диаграмма 658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85" zoomScaleNormal="85" workbookViewId="0">
      <selection activeCell="I10" sqref="I10"/>
    </sheetView>
  </sheetViews>
  <sheetFormatPr defaultRowHeight="14.4" x14ac:dyDescent="0.3"/>
  <cols>
    <col min="5" max="5" width="21.109375" customWidth="1"/>
    <col min="6" max="6" width="10.88671875" customWidth="1"/>
    <col min="7" max="7" width="15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tr">
        <f>E1</f>
        <v>R, Ом</v>
      </c>
    </row>
    <row r="2" spans="1:8" x14ac:dyDescent="0.3">
      <c r="A2">
        <v>1</v>
      </c>
      <c r="B2">
        <v>293</v>
      </c>
      <c r="C2">
        <v>1039</v>
      </c>
      <c r="D2">
        <v>0.71500000000000008</v>
      </c>
      <c r="E2">
        <f t="shared" ref="E2:E22" si="0">D2/C2*10^6</f>
        <v>688.16169393647749</v>
      </c>
      <c r="F2">
        <f t="shared" ref="F2:F22" si="1">LN(E2)</f>
        <v>6.5340238305769178</v>
      </c>
      <c r="G2">
        <f>10^3 / B2</f>
        <v>3.4129692832764507</v>
      </c>
      <c r="H2">
        <f t="shared" ref="H2:H22" si="2">E2</f>
        <v>688.16169393647749</v>
      </c>
    </row>
    <row r="3" spans="1:8" x14ac:dyDescent="0.3">
      <c r="A3">
        <v>2</v>
      </c>
      <c r="B3">
        <v>298</v>
      </c>
      <c r="C3">
        <v>1090</v>
      </c>
      <c r="D3">
        <v>0.71500000000000008</v>
      </c>
      <c r="E3">
        <f t="shared" si="0"/>
        <v>655.96330275229366</v>
      </c>
      <c r="F3">
        <f t="shared" si="1"/>
        <v>6.4861048464529558</v>
      </c>
      <c r="G3">
        <f>10^3 / B3</f>
        <v>3.3557046979865772</v>
      </c>
      <c r="H3">
        <f t="shared" si="2"/>
        <v>655.96330275229366</v>
      </c>
    </row>
    <row r="4" spans="1:8" x14ac:dyDescent="0.3">
      <c r="A4">
        <v>3</v>
      </c>
      <c r="B4">
        <v>301</v>
      </c>
      <c r="C4">
        <v>1220</v>
      </c>
      <c r="D4">
        <v>0.57999999999999996</v>
      </c>
      <c r="E4">
        <f t="shared" si="0"/>
        <v>475.40983606557376</v>
      </c>
      <c r="F4">
        <f t="shared" si="1"/>
        <v>6.1641772447953</v>
      </c>
      <c r="G4">
        <f>10^3 / B4</f>
        <v>3.3222591362126246</v>
      </c>
      <c r="H4">
        <f t="shared" si="2"/>
        <v>475.40983606557376</v>
      </c>
    </row>
    <row r="5" spans="1:8" x14ac:dyDescent="0.3">
      <c r="A5">
        <v>4</v>
      </c>
      <c r="B5">
        <v>304</v>
      </c>
      <c r="C5">
        <v>1260</v>
      </c>
      <c r="D5">
        <v>0.54</v>
      </c>
      <c r="E5">
        <f t="shared" si="0"/>
        <v>428.57142857142861</v>
      </c>
      <c r="F5">
        <f t="shared" si="1"/>
        <v>6.0604574185949334</v>
      </c>
      <c r="G5">
        <f>10^3 / B5</f>
        <v>3.2894736842105261</v>
      </c>
      <c r="H5">
        <f t="shared" si="2"/>
        <v>428.57142857142861</v>
      </c>
    </row>
    <row r="6" spans="1:8" x14ac:dyDescent="0.3">
      <c r="A6">
        <v>5</v>
      </c>
      <c r="B6">
        <v>307</v>
      </c>
      <c r="C6">
        <v>1330</v>
      </c>
      <c r="D6">
        <v>0.5</v>
      </c>
      <c r="E6">
        <f t="shared" si="0"/>
        <v>375.93984962406017</v>
      </c>
      <c r="F6">
        <f t="shared" si="1"/>
        <v>5.9294291561885295</v>
      </c>
      <c r="G6">
        <f>10^3 / B6</f>
        <v>3.2573289902280131</v>
      </c>
      <c r="H6">
        <f t="shared" si="2"/>
        <v>375.93984962406017</v>
      </c>
    </row>
    <row r="7" spans="1:8" x14ac:dyDescent="0.3">
      <c r="A7">
        <v>6</v>
      </c>
      <c r="B7">
        <v>310</v>
      </c>
      <c r="C7">
        <v>1383</v>
      </c>
      <c r="D7">
        <v>0.47000000000000003</v>
      </c>
      <c r="E7">
        <f t="shared" si="0"/>
        <v>339.84092552422277</v>
      </c>
      <c r="F7">
        <f t="shared" si="1"/>
        <v>5.8284776420214834</v>
      </c>
      <c r="G7">
        <f>10^3 / B7</f>
        <v>3.225806451612903</v>
      </c>
      <c r="H7">
        <f t="shared" si="2"/>
        <v>339.84092552422277</v>
      </c>
    </row>
    <row r="8" spans="1:8" x14ac:dyDescent="0.3">
      <c r="A8">
        <v>7</v>
      </c>
      <c r="B8">
        <v>313</v>
      </c>
      <c r="C8">
        <v>1443</v>
      </c>
      <c r="D8">
        <v>0.42000000000000004</v>
      </c>
      <c r="E8">
        <f t="shared" si="0"/>
        <v>291.06029106029109</v>
      </c>
      <c r="F8">
        <f t="shared" si="1"/>
        <v>5.6735304314856805</v>
      </c>
      <c r="G8">
        <f>10^3 / B8</f>
        <v>3.1948881789137382</v>
      </c>
      <c r="H8">
        <f t="shared" si="2"/>
        <v>291.06029106029109</v>
      </c>
    </row>
    <row r="9" spans="1:8" x14ac:dyDescent="0.3">
      <c r="A9">
        <v>8</v>
      </c>
      <c r="B9">
        <v>316</v>
      </c>
      <c r="C9">
        <v>1503</v>
      </c>
      <c r="D9">
        <v>0.38700000000000007</v>
      </c>
      <c r="E9">
        <f t="shared" si="0"/>
        <v>257.48502994011977</v>
      </c>
      <c r="F9">
        <f t="shared" si="1"/>
        <v>5.5509615822589442</v>
      </c>
      <c r="G9">
        <f>10^3 / B9</f>
        <v>3.1645569620253164</v>
      </c>
      <c r="H9">
        <f t="shared" si="2"/>
        <v>257.48502994011977</v>
      </c>
    </row>
    <row r="10" spans="1:8" x14ac:dyDescent="0.3">
      <c r="A10">
        <v>9</v>
      </c>
      <c r="B10">
        <v>319</v>
      </c>
      <c r="C10">
        <v>1549</v>
      </c>
      <c r="D10">
        <v>0.35900000000000004</v>
      </c>
      <c r="E10">
        <f t="shared" si="0"/>
        <v>231.76242737249842</v>
      </c>
      <c r="F10">
        <f t="shared" si="1"/>
        <v>5.4457128270535478</v>
      </c>
      <c r="G10">
        <f>10^3 / B10</f>
        <v>3.134796238244514</v>
      </c>
      <c r="H10">
        <f t="shared" si="2"/>
        <v>231.76242737249842</v>
      </c>
    </row>
    <row r="11" spans="1:8" x14ac:dyDescent="0.3">
      <c r="A11">
        <v>10</v>
      </c>
      <c r="B11">
        <v>322</v>
      </c>
      <c r="C11">
        <v>1588</v>
      </c>
      <c r="D11">
        <v>0.33300000000000007</v>
      </c>
      <c r="E11">
        <f t="shared" si="0"/>
        <v>209.69773299748115</v>
      </c>
      <c r="F11">
        <f t="shared" si="1"/>
        <v>5.3456671271555001</v>
      </c>
      <c r="G11">
        <f>10^3 / B11</f>
        <v>3.1055900621118013</v>
      </c>
      <c r="H11">
        <f t="shared" si="2"/>
        <v>209.69773299748115</v>
      </c>
    </row>
    <row r="12" spans="1:8" x14ac:dyDescent="0.3">
      <c r="A12">
        <v>11</v>
      </c>
      <c r="B12">
        <v>325</v>
      </c>
      <c r="C12">
        <v>1637</v>
      </c>
      <c r="D12">
        <v>0.29500000000000004</v>
      </c>
      <c r="E12">
        <f t="shared" si="0"/>
        <v>180.20769700671963</v>
      </c>
      <c r="F12">
        <f t="shared" si="1"/>
        <v>5.1941100579508221</v>
      </c>
      <c r="G12">
        <f>10^3 / B12</f>
        <v>3.0769230769230771</v>
      </c>
      <c r="H12">
        <f t="shared" si="2"/>
        <v>180.20769700671963</v>
      </c>
    </row>
    <row r="13" spans="1:8" x14ac:dyDescent="0.3">
      <c r="A13">
        <v>12</v>
      </c>
      <c r="B13">
        <v>328</v>
      </c>
      <c r="C13">
        <v>1680</v>
      </c>
      <c r="D13">
        <v>0.27</v>
      </c>
      <c r="E13">
        <f t="shared" si="0"/>
        <v>160.71428571428572</v>
      </c>
      <c r="F13">
        <f t="shared" si="1"/>
        <v>5.0796281655832072</v>
      </c>
      <c r="G13">
        <f>10^3 / B13</f>
        <v>3.0487804878048781</v>
      </c>
      <c r="H13">
        <f t="shared" si="2"/>
        <v>160.71428571428572</v>
      </c>
    </row>
    <row r="14" spans="1:8" x14ac:dyDescent="0.3">
      <c r="A14">
        <v>13</v>
      </c>
      <c r="B14">
        <v>331</v>
      </c>
      <c r="C14">
        <v>1720</v>
      </c>
      <c r="D14">
        <v>0.24700000000000003</v>
      </c>
      <c r="E14">
        <f t="shared" si="0"/>
        <v>143.6046511627907</v>
      </c>
      <c r="F14">
        <f t="shared" si="1"/>
        <v>4.9670640458026156</v>
      </c>
      <c r="G14">
        <f>10^3 / B14</f>
        <v>3.0211480362537766</v>
      </c>
      <c r="H14">
        <f t="shared" si="2"/>
        <v>143.6046511627907</v>
      </c>
    </row>
    <row r="15" spans="1:8" x14ac:dyDescent="0.3">
      <c r="A15">
        <v>14</v>
      </c>
      <c r="B15">
        <v>334</v>
      </c>
      <c r="C15">
        <v>1750</v>
      </c>
      <c r="D15">
        <v>0.22800000000000001</v>
      </c>
      <c r="E15">
        <f t="shared" si="0"/>
        <v>130.28571428571431</v>
      </c>
      <c r="F15">
        <f t="shared" si="1"/>
        <v>4.8697298410190184</v>
      </c>
      <c r="G15">
        <f>10^3 / B15</f>
        <v>2.9940119760479043</v>
      </c>
      <c r="H15">
        <f t="shared" si="2"/>
        <v>130.28571428571431</v>
      </c>
    </row>
    <row r="16" spans="1:8" x14ac:dyDescent="0.3">
      <c r="A16">
        <v>15</v>
      </c>
      <c r="B16">
        <v>337</v>
      </c>
      <c r="C16">
        <v>1780</v>
      </c>
      <c r="D16">
        <v>0.20600000000000002</v>
      </c>
      <c r="E16">
        <f t="shared" si="0"/>
        <v>115.7303370786517</v>
      </c>
      <c r="F16">
        <f t="shared" si="1"/>
        <v>4.7512628044855871</v>
      </c>
      <c r="G16">
        <f>10^3 / B16</f>
        <v>2.9673590504451037</v>
      </c>
      <c r="H16">
        <f t="shared" si="2"/>
        <v>115.7303370786517</v>
      </c>
    </row>
    <row r="17" spans="1:8" x14ac:dyDescent="0.3">
      <c r="A17">
        <v>16</v>
      </c>
      <c r="B17">
        <v>340</v>
      </c>
      <c r="C17">
        <v>1808</v>
      </c>
      <c r="D17">
        <v>0.188</v>
      </c>
      <c r="E17">
        <f t="shared" si="0"/>
        <v>103.98230088495575</v>
      </c>
      <c r="F17">
        <f t="shared" si="1"/>
        <v>4.6442207008599645</v>
      </c>
      <c r="G17">
        <f>10^3 / B17</f>
        <v>2.9411764705882355</v>
      </c>
      <c r="H17">
        <f t="shared" si="2"/>
        <v>103.98230088495575</v>
      </c>
    </row>
    <row r="18" spans="1:8" x14ac:dyDescent="0.3">
      <c r="A18">
        <v>17</v>
      </c>
      <c r="B18">
        <v>343</v>
      </c>
      <c r="C18">
        <v>1834</v>
      </c>
      <c r="D18">
        <v>0.17100000000000001</v>
      </c>
      <c r="E18">
        <f t="shared" si="0"/>
        <v>93.23882224645584</v>
      </c>
      <c r="F18">
        <f t="shared" si="1"/>
        <v>4.5351641826683871</v>
      </c>
      <c r="G18">
        <f>10^3 / B18</f>
        <v>2.9154518950437316</v>
      </c>
      <c r="H18">
        <f t="shared" si="2"/>
        <v>93.23882224645584</v>
      </c>
    </row>
    <row r="19" spans="1:8" x14ac:dyDescent="0.3">
      <c r="A19">
        <v>18</v>
      </c>
      <c r="B19">
        <v>346</v>
      </c>
      <c r="C19">
        <v>1862</v>
      </c>
      <c r="D19">
        <v>0.15300000000000002</v>
      </c>
      <c r="E19">
        <f t="shared" si="0"/>
        <v>82.169709989258877</v>
      </c>
      <c r="F19">
        <f t="shared" si="1"/>
        <v>4.4087867425375604</v>
      </c>
      <c r="G19">
        <f>10^3 / B19</f>
        <v>2.8901734104046244</v>
      </c>
      <c r="H19">
        <f t="shared" si="2"/>
        <v>82.169709989258877</v>
      </c>
    </row>
    <row r="20" spans="1:8" x14ac:dyDescent="0.3">
      <c r="A20">
        <v>19</v>
      </c>
      <c r="B20">
        <v>349</v>
      </c>
      <c r="C20">
        <v>1882</v>
      </c>
      <c r="D20">
        <v>0.14100000000000001</v>
      </c>
      <c r="E20">
        <f t="shared" si="0"/>
        <v>74.92029755579172</v>
      </c>
      <c r="F20">
        <f t="shared" si="1"/>
        <v>4.3164248492149806</v>
      </c>
      <c r="G20">
        <f>10^3 / B20</f>
        <v>2.8653295128939829</v>
      </c>
      <c r="H20">
        <f t="shared" si="2"/>
        <v>74.92029755579172</v>
      </c>
    </row>
    <row r="21" spans="1:8" x14ac:dyDescent="0.3">
      <c r="A21">
        <v>20</v>
      </c>
      <c r="B21">
        <v>352</v>
      </c>
      <c r="C21">
        <v>1900</v>
      </c>
      <c r="D21">
        <v>0.129</v>
      </c>
      <c r="E21">
        <f t="shared" si="0"/>
        <v>67.89473684210526</v>
      </c>
      <c r="F21">
        <f t="shared" si="1"/>
        <v>4.2179585181892776</v>
      </c>
      <c r="G21">
        <f>10^3 / B21</f>
        <v>2.8409090909090908</v>
      </c>
      <c r="H21">
        <f t="shared" si="2"/>
        <v>67.89473684210526</v>
      </c>
    </row>
    <row r="22" spans="1:8" x14ac:dyDescent="0.3">
      <c r="A22">
        <v>21</v>
      </c>
      <c r="B22">
        <v>355</v>
      </c>
      <c r="C22">
        <v>1918</v>
      </c>
      <c r="D22">
        <v>0.11600000000000001</v>
      </c>
      <c r="E22">
        <f t="shared" si="0"/>
        <v>60.479666319082384</v>
      </c>
      <c r="F22">
        <f t="shared" si="1"/>
        <v>4.1023072146451183</v>
      </c>
      <c r="G22">
        <f>10^3 / B22</f>
        <v>2.816901408450704</v>
      </c>
      <c r="H22">
        <f t="shared" si="2"/>
        <v>60.479666319082384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zoomScale="70" zoomScaleNormal="70" workbookViewId="0">
      <selection activeCell="E2" sqref="E2:E2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3">
      <c r="A2">
        <v>1</v>
      </c>
      <c r="B2">
        <v>295</v>
      </c>
      <c r="C2">
        <v>846</v>
      </c>
      <c r="D2">
        <v>0.96599999999999997</v>
      </c>
      <c r="E2">
        <f t="shared" ref="E2:E22" si="0">D2/C2 * 10^6</f>
        <v>1141.8439716312057</v>
      </c>
      <c r="F2">
        <f t="shared" ref="F2:F22" si="1">B2 - 273.15</f>
        <v>21.850000000000023</v>
      </c>
    </row>
    <row r="3" spans="1:6" x14ac:dyDescent="0.3">
      <c r="A3">
        <v>2</v>
      </c>
      <c r="B3">
        <v>298</v>
      </c>
      <c r="C3">
        <v>842</v>
      </c>
      <c r="D3">
        <v>0.97</v>
      </c>
      <c r="E3">
        <f t="shared" si="0"/>
        <v>1152.0190023752969</v>
      </c>
      <c r="F3">
        <f t="shared" si="1"/>
        <v>24.850000000000023</v>
      </c>
    </row>
    <row r="4" spans="1:6" x14ac:dyDescent="0.3">
      <c r="A4">
        <v>3</v>
      </c>
      <c r="B4">
        <v>301</v>
      </c>
      <c r="C4">
        <v>837</v>
      </c>
      <c r="D4">
        <v>0.97399999999999998</v>
      </c>
      <c r="E4">
        <f t="shared" si="0"/>
        <v>1163.679808841099</v>
      </c>
      <c r="F4">
        <f t="shared" si="1"/>
        <v>27.850000000000023</v>
      </c>
    </row>
    <row r="5" spans="1:6" x14ac:dyDescent="0.3">
      <c r="A5">
        <v>4</v>
      </c>
      <c r="B5">
        <v>304</v>
      </c>
      <c r="C5">
        <v>831</v>
      </c>
      <c r="D5">
        <v>0.97799999999999998</v>
      </c>
      <c r="E5">
        <f t="shared" si="0"/>
        <v>1176.8953068592057</v>
      </c>
      <c r="F5">
        <f t="shared" si="1"/>
        <v>30.850000000000023</v>
      </c>
    </row>
    <row r="6" spans="1:6" x14ac:dyDescent="0.3">
      <c r="A6">
        <v>5</v>
      </c>
      <c r="B6">
        <v>307</v>
      </c>
      <c r="C6">
        <v>826</v>
      </c>
      <c r="D6">
        <v>0.98199999999999998</v>
      </c>
      <c r="E6">
        <f t="shared" si="0"/>
        <v>1188.8619854721549</v>
      </c>
      <c r="F6">
        <f t="shared" si="1"/>
        <v>33.850000000000023</v>
      </c>
    </row>
    <row r="7" spans="1:6" x14ac:dyDescent="0.3">
      <c r="A7">
        <v>6</v>
      </c>
      <c r="B7">
        <v>310</v>
      </c>
      <c r="C7">
        <v>821</v>
      </c>
      <c r="D7">
        <v>0.98699999999999999</v>
      </c>
      <c r="E7">
        <f t="shared" si="0"/>
        <v>1202.1924482338611</v>
      </c>
      <c r="F7">
        <f t="shared" si="1"/>
        <v>36.850000000000023</v>
      </c>
    </row>
    <row r="8" spans="1:6" x14ac:dyDescent="0.3">
      <c r="A8">
        <v>7</v>
      </c>
      <c r="B8">
        <v>313</v>
      </c>
      <c r="C8">
        <v>816</v>
      </c>
      <c r="D8">
        <v>0.99099999999999999</v>
      </c>
      <c r="E8">
        <f t="shared" si="0"/>
        <v>1214.4607843137253</v>
      </c>
      <c r="F8">
        <f t="shared" si="1"/>
        <v>39.850000000000023</v>
      </c>
    </row>
    <row r="9" spans="1:6" x14ac:dyDescent="0.3">
      <c r="A9">
        <v>8</v>
      </c>
      <c r="B9">
        <v>316</v>
      </c>
      <c r="C9">
        <v>811</v>
      </c>
      <c r="D9">
        <v>0.995</v>
      </c>
      <c r="E9">
        <f t="shared" si="0"/>
        <v>1226.8803945745992</v>
      </c>
      <c r="F9">
        <f t="shared" si="1"/>
        <v>42.850000000000023</v>
      </c>
    </row>
    <row r="10" spans="1:6" x14ac:dyDescent="0.3">
      <c r="A10">
        <v>9</v>
      </c>
      <c r="B10">
        <v>319</v>
      </c>
      <c r="C10">
        <v>805</v>
      </c>
      <c r="D10">
        <v>0.999</v>
      </c>
      <c r="E10">
        <f t="shared" si="0"/>
        <v>1240.9937888198758</v>
      </c>
      <c r="F10">
        <f t="shared" si="1"/>
        <v>45.850000000000023</v>
      </c>
    </row>
    <row r="11" spans="1:6" x14ac:dyDescent="0.3">
      <c r="A11">
        <v>10</v>
      </c>
      <c r="B11">
        <v>322</v>
      </c>
      <c r="C11">
        <v>801</v>
      </c>
      <c r="D11">
        <v>1.0029999999999999</v>
      </c>
      <c r="E11">
        <f t="shared" si="0"/>
        <v>1252.1847690387017</v>
      </c>
      <c r="F11">
        <f t="shared" si="1"/>
        <v>48.850000000000023</v>
      </c>
    </row>
    <row r="12" spans="1:6" x14ac:dyDescent="0.3">
      <c r="A12">
        <v>11</v>
      </c>
      <c r="B12">
        <v>325</v>
      </c>
      <c r="C12">
        <v>796</v>
      </c>
      <c r="D12">
        <v>1.006</v>
      </c>
      <c r="E12">
        <f t="shared" si="0"/>
        <v>1263.8190954773868</v>
      </c>
      <c r="F12">
        <f t="shared" si="1"/>
        <v>51.850000000000023</v>
      </c>
    </row>
    <row r="13" spans="1:6" x14ac:dyDescent="0.3">
      <c r="A13">
        <v>12</v>
      </c>
      <c r="B13">
        <v>328</v>
      </c>
      <c r="C13">
        <v>791</v>
      </c>
      <c r="D13">
        <v>1.01</v>
      </c>
      <c r="E13">
        <f t="shared" si="0"/>
        <v>1276.8647281921619</v>
      </c>
      <c r="F13">
        <f t="shared" si="1"/>
        <v>54.850000000000023</v>
      </c>
    </row>
    <row r="14" spans="1:6" x14ac:dyDescent="0.3">
      <c r="A14">
        <v>13</v>
      </c>
      <c r="B14">
        <v>331</v>
      </c>
      <c r="C14">
        <v>786</v>
      </c>
      <c r="D14">
        <v>1.014</v>
      </c>
      <c r="E14">
        <f t="shared" si="0"/>
        <v>1290.0763358778627</v>
      </c>
      <c r="F14">
        <f t="shared" si="1"/>
        <v>57.850000000000023</v>
      </c>
    </row>
    <row r="15" spans="1:6" x14ac:dyDescent="0.3">
      <c r="A15">
        <v>14</v>
      </c>
      <c r="B15">
        <v>334</v>
      </c>
      <c r="C15">
        <v>781</v>
      </c>
      <c r="D15">
        <v>1.018</v>
      </c>
      <c r="E15">
        <f t="shared" si="0"/>
        <v>1303.4571062740076</v>
      </c>
      <c r="F15">
        <f t="shared" si="1"/>
        <v>60.850000000000023</v>
      </c>
    </row>
    <row r="16" spans="1:6" x14ac:dyDescent="0.3">
      <c r="A16">
        <v>15</v>
      </c>
      <c r="B16">
        <v>337</v>
      </c>
      <c r="C16">
        <v>776</v>
      </c>
      <c r="D16">
        <v>1.022</v>
      </c>
      <c r="E16">
        <f t="shared" si="0"/>
        <v>1317.0103092783504</v>
      </c>
      <c r="F16">
        <f t="shared" si="1"/>
        <v>63.850000000000023</v>
      </c>
    </row>
    <row r="17" spans="1:6" x14ac:dyDescent="0.3">
      <c r="A17">
        <v>16</v>
      </c>
      <c r="B17">
        <v>340</v>
      </c>
      <c r="C17">
        <v>769</v>
      </c>
      <c r="D17">
        <v>1.0249999999999999</v>
      </c>
      <c r="E17">
        <f t="shared" si="0"/>
        <v>1332.8998699609883</v>
      </c>
      <c r="F17">
        <f t="shared" si="1"/>
        <v>66.850000000000023</v>
      </c>
    </row>
    <row r="18" spans="1:6" x14ac:dyDescent="0.3">
      <c r="A18">
        <v>17</v>
      </c>
      <c r="B18">
        <v>343</v>
      </c>
      <c r="C18">
        <v>766</v>
      </c>
      <c r="D18">
        <v>1.03</v>
      </c>
      <c r="E18">
        <f t="shared" si="0"/>
        <v>1344.6475195822454</v>
      </c>
      <c r="F18">
        <f t="shared" si="1"/>
        <v>69.850000000000023</v>
      </c>
    </row>
    <row r="19" spans="1:6" x14ac:dyDescent="0.3">
      <c r="A19">
        <v>18</v>
      </c>
      <c r="B19">
        <v>346</v>
      </c>
      <c r="C19">
        <v>762</v>
      </c>
      <c r="D19">
        <v>1.0329999999999999</v>
      </c>
      <c r="E19">
        <f t="shared" si="0"/>
        <v>1355.6430446194224</v>
      </c>
      <c r="F19">
        <f t="shared" si="1"/>
        <v>72.850000000000023</v>
      </c>
    </row>
    <row r="20" spans="1:6" x14ac:dyDescent="0.3">
      <c r="A20">
        <v>19</v>
      </c>
      <c r="B20">
        <v>349</v>
      </c>
      <c r="C20">
        <v>757</v>
      </c>
      <c r="D20">
        <v>1.0369999999999999</v>
      </c>
      <c r="E20">
        <f t="shared" si="0"/>
        <v>1369.8811096433287</v>
      </c>
      <c r="F20">
        <f t="shared" si="1"/>
        <v>75.850000000000023</v>
      </c>
    </row>
    <row r="21" spans="1:6" x14ac:dyDescent="0.3">
      <c r="A21">
        <v>20</v>
      </c>
      <c r="B21">
        <v>352</v>
      </c>
      <c r="C21">
        <v>752</v>
      </c>
      <c r="D21">
        <v>1.0409999999999999</v>
      </c>
      <c r="E21">
        <f t="shared" si="0"/>
        <v>1384.3085106382978</v>
      </c>
      <c r="F21">
        <f t="shared" si="1"/>
        <v>78.850000000000023</v>
      </c>
    </row>
    <row r="22" spans="1:6" x14ac:dyDescent="0.3">
      <c r="A22">
        <v>21</v>
      </c>
      <c r="B22">
        <v>355</v>
      </c>
      <c r="C22">
        <v>747</v>
      </c>
      <c r="D22">
        <v>1.0449999999999999</v>
      </c>
      <c r="E22">
        <f t="shared" si="0"/>
        <v>1398.9290495314592</v>
      </c>
      <c r="F22">
        <f t="shared" si="1"/>
        <v>81.850000000000023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Полупроводник</vt:lpstr>
      <vt:lpstr>Металл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</dc:creator>
  <cp:lastModifiedBy>FNU LNU</cp:lastModifiedBy>
  <dcterms:created xsi:type="dcterms:W3CDTF">2026-03-06T07:09:52Z</dcterms:created>
  <dcterms:modified xsi:type="dcterms:W3CDTF">2026-03-06T10:19:39Z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2026-03-06T10:18:57Z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82b70a2d-30f9-4534-8fd6-9bb237da0a46</vt:lpwstr>
  </property>
  <property fmtid="{D5CDD505-2E9C-101B-9397-08002B2CF9AE}" pid="7" name="MSIP_Label_defa4170-0d19-0005-0004-bc88714345d2_ActionId">
    <vt:lpwstr>3076a888-6f4f-45b1-b197-db049c11a568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