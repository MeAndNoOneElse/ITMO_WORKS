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niuitmo-my.sharepoint.com/personal/465029_niuitmo_ru/Documents/github_file/PythonProject/ФИЗИКА/lab_3/"/>
    </mc:Choice>
  </mc:AlternateContent>
  <xr:revisionPtr revIDLastSave="0" documentId="8_{FE4DDC5D-A954-4C02-A114-235A9B027A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Таблица 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N2" i="3"/>
  <c r="O2" i="3"/>
  <c r="P2" i="3"/>
  <c r="I2" i="3" s="1"/>
  <c r="K2" i="3" l="1"/>
  <c r="G3" i="3" s="1"/>
  <c r="D17" i="3"/>
  <c r="D27" i="3"/>
  <c r="D39" i="3"/>
  <c r="D18" i="3"/>
  <c r="D28" i="3"/>
  <c r="D7" i="3"/>
  <c r="D9" i="3"/>
  <c r="D19" i="3"/>
  <c r="D31" i="3"/>
  <c r="D2" i="3"/>
  <c r="D10" i="3"/>
  <c r="D20" i="3"/>
  <c r="D32" i="3"/>
  <c r="D11" i="3"/>
  <c r="D23" i="3"/>
  <c r="D33" i="3"/>
  <c r="D12" i="3"/>
  <c r="D24" i="3"/>
  <c r="D15" i="3"/>
  <c r="D25" i="3"/>
  <c r="D16" i="3"/>
  <c r="D3" i="3"/>
  <c r="D34" i="3"/>
  <c r="D35" i="3"/>
  <c r="D8" i="3"/>
  <c r="D26" i="3"/>
  <c r="D36" i="3"/>
  <c r="D38" i="3"/>
  <c r="D30" i="3"/>
  <c r="D22" i="3"/>
  <c r="D14" i="3"/>
  <c r="D37" i="3"/>
  <c r="D29" i="3"/>
  <c r="D21" i="3"/>
  <c r="D13" i="3"/>
  <c r="G18" i="3"/>
  <c r="H18" i="3" s="1"/>
  <c r="G10" i="3"/>
  <c r="H10" i="3" s="1"/>
  <c r="G30" i="3"/>
  <c r="H30" i="3" s="1"/>
  <c r="G14" i="3"/>
  <c r="H14" i="3" s="1"/>
  <c r="D5" i="3"/>
  <c r="D4" i="3"/>
  <c r="D6" i="3"/>
  <c r="G2" i="3" l="1"/>
  <c r="H2" i="3"/>
  <c r="H3" i="3"/>
  <c r="G9" i="3"/>
  <c r="H9" i="3" s="1"/>
  <c r="G29" i="3"/>
  <c r="H29" i="3" s="1"/>
  <c r="G17" i="3"/>
  <c r="H17" i="3" s="1"/>
  <c r="G37" i="3"/>
  <c r="H37" i="3" s="1"/>
  <c r="G28" i="3"/>
  <c r="H28" i="3" s="1"/>
  <c r="G16" i="3"/>
  <c r="H16" i="3" s="1"/>
  <c r="G36" i="3"/>
  <c r="H36" i="3" s="1"/>
  <c r="G15" i="3"/>
  <c r="H15" i="3" s="1"/>
  <c r="G25" i="3"/>
  <c r="H25" i="3" s="1"/>
  <c r="G26" i="3"/>
  <c r="H26" i="3" s="1"/>
  <c r="G11" i="3"/>
  <c r="H11" i="3" s="1"/>
  <c r="G31" i="3"/>
  <c r="H31" i="3" s="1"/>
  <c r="G32" i="3"/>
  <c r="H32" i="3" s="1"/>
  <c r="G39" i="3"/>
  <c r="H39" i="3" s="1"/>
  <c r="G13" i="3"/>
  <c r="H13" i="3" s="1"/>
  <c r="G23" i="3"/>
  <c r="H23" i="3" s="1"/>
  <c r="G24" i="3"/>
  <c r="H24" i="3" s="1"/>
  <c r="G33" i="3"/>
  <c r="H33" i="3" s="1"/>
  <c r="G34" i="3"/>
  <c r="H34" i="3" s="1"/>
  <c r="G19" i="3"/>
  <c r="H19" i="3" s="1"/>
  <c r="G4" i="3"/>
  <c r="H4" i="3" s="1"/>
  <c r="G5" i="3"/>
  <c r="H5" i="3" s="1"/>
  <c r="G27" i="3"/>
  <c r="H27" i="3" s="1"/>
  <c r="G12" i="3"/>
  <c r="H12" i="3" s="1"/>
  <c r="G6" i="3"/>
  <c r="H6" i="3" s="1"/>
  <c r="G35" i="3"/>
  <c r="H35" i="3" s="1"/>
  <c r="G20" i="3"/>
  <c r="H20" i="3" s="1"/>
  <c r="G22" i="3"/>
  <c r="H22" i="3" s="1"/>
  <c r="G21" i="3"/>
  <c r="H21" i="3" s="1"/>
  <c r="G38" i="3"/>
  <c r="H38" i="3" s="1"/>
  <c r="G7" i="3"/>
  <c r="H7" i="3" s="1"/>
  <c r="G8" i="3"/>
  <c r="H8" i="3" s="1"/>
</calcChain>
</file>

<file path=xl/sharedStrings.xml><?xml version="1.0" encoding="utf-8"?>
<sst xmlns="http://schemas.openxmlformats.org/spreadsheetml/2006/main" count="18" uniqueCount="18">
  <si>
    <t xml:space="preserve">U, В </t>
  </si>
  <si>
    <t xml:space="preserve">Kx, В/дел </t>
  </si>
  <si>
    <t>H, A/м</t>
  </si>
  <si>
    <t>Ky, В/дел</t>
  </si>
  <si>
    <t>B, Тл</t>
  </si>
  <si>
    <t>μ</t>
  </si>
  <si>
    <t>α</t>
  </si>
  <si>
    <t>β</t>
  </si>
  <si>
    <t>X, mV</t>
  </si>
  <si>
    <t>Y, дел mV</t>
  </si>
  <si>
    <t>R1</t>
  </si>
  <si>
    <t>R2</t>
  </si>
  <si>
    <t>C1</t>
  </si>
  <si>
    <t>S</t>
  </si>
  <si>
    <t>L</t>
  </si>
  <si>
    <t>N1</t>
  </si>
  <si>
    <t>N2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</si>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</sst>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9"/>
  <sheetViews>
    <sheetView tabSelected="1" workbookViewId="0">
      <selection activeCell="L1" sqref="L1:R2"/>
    </sheetView>
  </sheetViews>
  <sheetFormatPr defaultRowHeight="14.4" x14ac:dyDescent="0.3"/>
  <sheetData>
    <row r="1" spans="1:18" x14ac:dyDescent="0.3">
      <c r="A1" t="s">
        <v>0</v>
      </c>
      <c r="B1" t="s">
        <v>8</v>
      </c>
      <c r="C1" t="s">
        <v>1</v>
      </c>
      <c r="D1" t="s">
        <v>2</v>
      </c>
      <c r="E1" t="s">
        <v>9</v>
      </c>
      <c r="F1" t="s">
        <v>3</v>
      </c>
      <c r="G1" t="s">
        <v>4</v>
      </c>
      <c r="H1" t="s">
        <v>5</v>
      </c>
      <c r="I1" t="s">
        <v>6</v>
      </c>
      <c r="J1" t="s">
        <v>17</v>
      </c>
      <c r="K1" t="s">
        <v>7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>
        <v>19</v>
      </c>
      <c r="B2">
        <v>1.54</v>
      </c>
      <c r="C2">
        <v>0.2</v>
      </c>
      <c r="D2">
        <f>$I$2*C2*B2</f>
        <v>96.685520361990953</v>
      </c>
      <c r="E2">
        <v>0.376</v>
      </c>
      <c r="F2">
        <v>0.1</v>
      </c>
      <c r="G2">
        <f>$K$2*F2*E2</f>
        <v>0.1278018156639483</v>
      </c>
      <c r="H2">
        <f>G2/(4*PI()*10^-7 * D2)</f>
        <v>1051.8788450888233</v>
      </c>
      <c r="I2">
        <f>Q2/P2/L2</f>
        <v>313.91402714932127</v>
      </c>
      <c r="J2">
        <f>PI()</f>
        <v>3.1415926535897931</v>
      </c>
      <c r="K2">
        <f>M2*N2/R2/O2</f>
        <v>3.3989844591475609</v>
      </c>
      <c r="L2">
        <v>68</v>
      </c>
      <c r="M2">
        <v>470000</v>
      </c>
      <c r="N2">
        <f>0.47/10^6</f>
        <v>4.6999999999999995E-7</v>
      </c>
      <c r="O2">
        <f>0.67/10000</f>
        <v>6.7000000000000002E-5</v>
      </c>
      <c r="P2">
        <f>7.8/100</f>
        <v>7.8E-2</v>
      </c>
      <c r="Q2">
        <v>1665</v>
      </c>
      <c r="R2">
        <v>970</v>
      </c>
    </row>
    <row r="3" spans="1:18" x14ac:dyDescent="0.3">
      <c r="A3">
        <v>18.5</v>
      </c>
      <c r="B3">
        <v>1.42</v>
      </c>
      <c r="C3">
        <v>0.2</v>
      </c>
      <c r="D3">
        <f>$I$2*C3*B3</f>
        <v>89.151583710407238</v>
      </c>
      <c r="E3">
        <v>0.37</v>
      </c>
      <c r="F3">
        <v>0.1</v>
      </c>
      <c r="G3">
        <f>$K$2*F3*E3</f>
        <v>0.12576242498845974</v>
      </c>
      <c r="H3">
        <f t="shared" ref="H3:H39" si="0">G3/(4*PI()*10^-7 * D3)</f>
        <v>1122.5662382596859</v>
      </c>
    </row>
    <row r="4" spans="1:18" x14ac:dyDescent="0.3">
      <c r="A4">
        <v>18</v>
      </c>
      <c r="B4">
        <v>1.24</v>
      </c>
      <c r="C4">
        <v>0.2</v>
      </c>
      <c r="D4">
        <f>$I$2*C4*B4</f>
        <v>77.850678733031671</v>
      </c>
      <c r="E4">
        <v>0.36199999999999999</v>
      </c>
      <c r="F4">
        <v>0.1</v>
      </c>
      <c r="G4">
        <f>$K$2*F4*E4</f>
        <v>0.1230432374211417</v>
      </c>
      <c r="H4">
        <f t="shared" si="0"/>
        <v>1257.7243877833673</v>
      </c>
    </row>
    <row r="5" spans="1:18" s="2" customFormat="1" x14ac:dyDescent="0.3">
      <c r="A5" s="2">
        <v>17.5</v>
      </c>
      <c r="B5" s="2">
        <v>1.19</v>
      </c>
      <c r="C5" s="2">
        <v>0.2</v>
      </c>
      <c r="D5" s="2">
        <f>$I$2*C5*B5</f>
        <v>74.711538461538453</v>
      </c>
      <c r="E5" s="2">
        <v>0.35199999999999998</v>
      </c>
      <c r="F5" s="2">
        <v>0.1</v>
      </c>
      <c r="G5" s="2">
        <f>$K$2*F5*E5</f>
        <v>0.11964425296199414</v>
      </c>
      <c r="H5">
        <f t="shared" si="0"/>
        <v>1274.3663605081115</v>
      </c>
    </row>
    <row r="6" spans="1:18" s="2" customFormat="1" x14ac:dyDescent="0.3">
      <c r="A6" s="2">
        <v>17</v>
      </c>
      <c r="B6" s="2">
        <v>1.18</v>
      </c>
      <c r="C6" s="2">
        <v>0.2</v>
      </c>
      <c r="D6" s="2">
        <f>$I$2*C6*B6</f>
        <v>74.08371040723982</v>
      </c>
      <c r="E6" s="2">
        <v>0.34399999999999997</v>
      </c>
      <c r="F6" s="2">
        <v>0.1</v>
      </c>
      <c r="G6" s="2">
        <f>$K$2*F6*E6</f>
        <v>0.11692506539467609</v>
      </c>
      <c r="H6">
        <f t="shared" si="0"/>
        <v>1255.957755531588</v>
      </c>
    </row>
    <row r="7" spans="1:18" s="2" customFormat="1" x14ac:dyDescent="0.3">
      <c r="A7" s="2">
        <v>16.5</v>
      </c>
      <c r="B7" s="2">
        <v>1.1599999999999999</v>
      </c>
      <c r="C7" s="2">
        <v>0.2</v>
      </c>
      <c r="D7" s="2">
        <f>$I$2*C7*B7</f>
        <v>72.828054298642527</v>
      </c>
      <c r="E7" s="2">
        <v>0.33600000000000002</v>
      </c>
      <c r="F7" s="2">
        <v>0.1</v>
      </c>
      <c r="G7" s="2">
        <f>$K$2*F7*E7</f>
        <v>0.11420587782735805</v>
      </c>
      <c r="H7">
        <f t="shared" si="0"/>
        <v>1247.9002879740478</v>
      </c>
    </row>
    <row r="8" spans="1:18" s="2" customFormat="1" x14ac:dyDescent="0.3">
      <c r="A8" s="2">
        <v>16</v>
      </c>
      <c r="B8" s="2">
        <v>1.08</v>
      </c>
      <c r="C8" s="2">
        <v>0.2</v>
      </c>
      <c r="D8" s="2">
        <f>$I$2*C8*B8</f>
        <v>67.805429864253398</v>
      </c>
      <c r="E8" s="2">
        <v>0.32800000000000001</v>
      </c>
      <c r="F8" s="2">
        <v>0.1</v>
      </c>
      <c r="G8" s="2">
        <f>$K$2*F8*E8</f>
        <v>0.11148669026004</v>
      </c>
      <c r="H8">
        <f t="shared" si="0"/>
        <v>1308.4245523819602</v>
      </c>
    </row>
    <row r="9" spans="1:18" x14ac:dyDescent="0.3">
      <c r="A9">
        <v>15.5</v>
      </c>
      <c r="B9" s="2">
        <v>1.02</v>
      </c>
      <c r="C9">
        <v>0.2</v>
      </c>
      <c r="D9" s="1">
        <f>$I$2*C9*B9</f>
        <v>64.038461538461547</v>
      </c>
      <c r="E9" s="2">
        <v>0.318</v>
      </c>
      <c r="F9">
        <v>0.1</v>
      </c>
      <c r="G9">
        <f>$K$2*F9*E9</f>
        <v>0.10808770580089244</v>
      </c>
      <c r="H9">
        <f t="shared" si="0"/>
        <v>1343.1531811037194</v>
      </c>
    </row>
    <row r="10" spans="1:18" x14ac:dyDescent="0.3">
      <c r="A10">
        <v>15</v>
      </c>
      <c r="B10">
        <v>0.95200000000000007</v>
      </c>
      <c r="C10">
        <v>0.2</v>
      </c>
      <c r="D10" s="1">
        <f>$I$2*C10*B10</f>
        <v>59.769230769230774</v>
      </c>
      <c r="E10">
        <v>0.30400000000000005</v>
      </c>
      <c r="F10">
        <v>0.1</v>
      </c>
      <c r="G10">
        <f>$K$2*F10*E10</f>
        <v>0.10332912755808588</v>
      </c>
      <c r="H10">
        <f t="shared" si="0"/>
        <v>1375.7364119121657</v>
      </c>
    </row>
    <row r="11" spans="1:18" x14ac:dyDescent="0.3">
      <c r="A11">
        <v>14.5</v>
      </c>
      <c r="B11">
        <v>0.90500000000000003</v>
      </c>
      <c r="C11">
        <v>0.2</v>
      </c>
      <c r="D11" s="1">
        <f>$I$2*C11*B11</f>
        <v>56.818438914027155</v>
      </c>
      <c r="E11">
        <v>0.29600000000000004</v>
      </c>
      <c r="F11">
        <v>0.1</v>
      </c>
      <c r="G11">
        <f>$K$2*F11*E11</f>
        <v>0.10060993999076782</v>
      </c>
      <c r="H11">
        <f t="shared" si="0"/>
        <v>1409.099720069617</v>
      </c>
    </row>
    <row r="12" spans="1:18" x14ac:dyDescent="0.3">
      <c r="A12">
        <v>14</v>
      </c>
      <c r="B12">
        <v>0.84500000000000008</v>
      </c>
      <c r="C12">
        <v>0.2</v>
      </c>
      <c r="D12" s="1">
        <f>$I$2*C12*B12</f>
        <v>53.051470588235297</v>
      </c>
      <c r="E12">
        <v>0.28000000000000003</v>
      </c>
      <c r="F12">
        <v>0.1</v>
      </c>
      <c r="G12">
        <f>$K$2*F12*E12</f>
        <v>9.5171564856131721E-2</v>
      </c>
      <c r="H12">
        <f t="shared" si="0"/>
        <v>1427.5782387079839</v>
      </c>
    </row>
    <row r="13" spans="1:18" x14ac:dyDescent="0.3">
      <c r="A13">
        <v>13.5</v>
      </c>
      <c r="B13">
        <v>0.8</v>
      </c>
      <c r="C13">
        <v>0.2</v>
      </c>
      <c r="D13" s="1">
        <f>$I$2*C13*B13</f>
        <v>50.226244343891409</v>
      </c>
      <c r="E13">
        <v>0.27200000000000002</v>
      </c>
      <c r="F13">
        <v>0.1</v>
      </c>
      <c r="G13">
        <f>$K$2*F13*E13</f>
        <v>9.245237728881367E-2</v>
      </c>
      <c r="H13">
        <f t="shared" si="0"/>
        <v>1464.7972427885848</v>
      </c>
    </row>
    <row r="14" spans="1:18" x14ac:dyDescent="0.3">
      <c r="A14">
        <v>13</v>
      </c>
      <c r="B14">
        <v>0.75000000000000011</v>
      </c>
      <c r="C14">
        <v>0.2</v>
      </c>
      <c r="D14" s="1">
        <f>$I$2*C14*B14</f>
        <v>47.087104072398198</v>
      </c>
      <c r="E14">
        <v>0.26700000000000002</v>
      </c>
      <c r="F14">
        <v>0.1</v>
      </c>
      <c r="G14">
        <f>$K$2*F14*E14</f>
        <v>9.0752885059239882E-2</v>
      </c>
      <c r="H14">
        <f t="shared" si="0"/>
        <v>1533.7288777433414</v>
      </c>
    </row>
    <row r="15" spans="1:18" x14ac:dyDescent="0.3">
      <c r="A15">
        <v>12.5</v>
      </c>
      <c r="B15">
        <v>0.70800000000000007</v>
      </c>
      <c r="C15">
        <v>0.2</v>
      </c>
      <c r="D15" s="1">
        <f>$I$2*C15*B15</f>
        <v>44.450226244343895</v>
      </c>
      <c r="E15">
        <v>0.25600000000000001</v>
      </c>
      <c r="F15">
        <v>0.1</v>
      </c>
      <c r="G15">
        <f>$K$2*F15*E15</f>
        <v>8.7014002154177567E-2</v>
      </c>
      <c r="H15">
        <f t="shared" si="0"/>
        <v>1557.7770611244503</v>
      </c>
    </row>
    <row r="16" spans="1:18" x14ac:dyDescent="0.3">
      <c r="A16">
        <v>12</v>
      </c>
      <c r="B16">
        <v>0.67000000000000015</v>
      </c>
      <c r="C16">
        <v>0.2</v>
      </c>
      <c r="D16" s="1">
        <f>$I$2*C16*B16</f>
        <v>42.064479638009061</v>
      </c>
      <c r="E16">
        <v>0.24000000000000002</v>
      </c>
      <c r="F16">
        <v>0.1</v>
      </c>
      <c r="G16">
        <f>$K$2*F16*E16</f>
        <v>8.1575627019541463E-2</v>
      </c>
      <c r="H16">
        <f t="shared" si="0"/>
        <v>1543.2455586885876</v>
      </c>
    </row>
    <row r="17" spans="1:8" x14ac:dyDescent="0.3">
      <c r="A17">
        <v>11.5</v>
      </c>
      <c r="B17">
        <v>0.62500000000000011</v>
      </c>
      <c r="C17">
        <v>0.2</v>
      </c>
      <c r="D17" s="1">
        <f>$I$2*C17*B17</f>
        <v>39.239253393665166</v>
      </c>
      <c r="E17">
        <v>0.23200000000000001</v>
      </c>
      <c r="F17">
        <v>0.1</v>
      </c>
      <c r="G17">
        <f>$K$2*F17*E17</f>
        <v>7.8856439452223412E-2</v>
      </c>
      <c r="H17">
        <f t="shared" si="0"/>
        <v>1599.2139309503605</v>
      </c>
    </row>
    <row r="18" spans="1:8" x14ac:dyDescent="0.3">
      <c r="A18">
        <v>11</v>
      </c>
      <c r="B18">
        <v>0.58499999999999996</v>
      </c>
      <c r="C18">
        <v>0.2</v>
      </c>
      <c r="D18" s="1">
        <f>$I$2*C18*B18</f>
        <v>36.727941176470587</v>
      </c>
      <c r="E18">
        <v>0.22500000000000001</v>
      </c>
      <c r="F18">
        <v>0.1</v>
      </c>
      <c r="G18">
        <f>$K$2*F18*E18</f>
        <v>7.6477150330820129E-2</v>
      </c>
      <c r="H18">
        <f t="shared" si="0"/>
        <v>1657.0104556431954</v>
      </c>
    </row>
    <row r="19" spans="1:8" x14ac:dyDescent="0.3">
      <c r="A19">
        <v>10.5</v>
      </c>
      <c r="B19">
        <v>0.55500000000000005</v>
      </c>
      <c r="C19">
        <v>0.2</v>
      </c>
      <c r="D19" s="1">
        <f>$I$2*C19*B19</f>
        <v>34.844457013574662</v>
      </c>
      <c r="E19">
        <v>0.21600000000000003</v>
      </c>
      <c r="F19">
        <v>0.1</v>
      </c>
      <c r="G19">
        <f>$K$2*F19*E19</f>
        <v>7.3418064317587323E-2</v>
      </c>
      <c r="H19">
        <f t="shared" si="0"/>
        <v>1676.7154448454389</v>
      </c>
    </row>
    <row r="20" spans="1:8" x14ac:dyDescent="0.3">
      <c r="A20">
        <v>10</v>
      </c>
      <c r="B20">
        <v>0.51200000000000001</v>
      </c>
      <c r="C20">
        <v>0.2</v>
      </c>
      <c r="D20" s="1">
        <f>$I$2*C20*B20</f>
        <v>32.144796380090497</v>
      </c>
      <c r="E20">
        <v>0.20400000000000001</v>
      </c>
      <c r="F20">
        <v>0.1</v>
      </c>
      <c r="G20">
        <f>$K$2*F20*E20</f>
        <v>6.9339282966610252E-2</v>
      </c>
      <c r="H20">
        <f t="shared" si="0"/>
        <v>1716.559268892873</v>
      </c>
    </row>
    <row r="21" spans="1:8" x14ac:dyDescent="0.3">
      <c r="A21">
        <v>9.5</v>
      </c>
      <c r="B21">
        <v>0.48000000000000004</v>
      </c>
      <c r="C21">
        <v>0.2</v>
      </c>
      <c r="D21" s="1">
        <f>$I$2*C21*B21</f>
        <v>30.135746606334845</v>
      </c>
      <c r="E21">
        <v>0.19600000000000001</v>
      </c>
      <c r="F21">
        <v>0.1</v>
      </c>
      <c r="G21">
        <f>$K$2*F21*E21</f>
        <v>6.6620095399292201E-2</v>
      </c>
      <c r="H21">
        <f t="shared" si="0"/>
        <v>1759.1927670745256</v>
      </c>
    </row>
    <row r="22" spans="1:8" x14ac:dyDescent="0.3">
      <c r="A22">
        <v>9</v>
      </c>
      <c r="B22">
        <v>0.44800000000000001</v>
      </c>
      <c r="C22">
        <v>0.2</v>
      </c>
      <c r="D22" s="1">
        <f>$I$2*C22*B22</f>
        <v>28.126696832579185</v>
      </c>
      <c r="E22">
        <v>0.184</v>
      </c>
      <c r="F22">
        <v>0.1</v>
      </c>
      <c r="G22">
        <f>$K$2*F22*E22</f>
        <v>6.2541314048315116E-2</v>
      </c>
      <c r="H22">
        <f t="shared" si="0"/>
        <v>1769.4504508475547</v>
      </c>
    </row>
    <row r="23" spans="1:8" x14ac:dyDescent="0.3">
      <c r="A23">
        <v>8.5</v>
      </c>
      <c r="B23">
        <v>0.42000000000000004</v>
      </c>
      <c r="C23">
        <v>0.2</v>
      </c>
      <c r="D23" s="1">
        <f>$I$2*C23*B23</f>
        <v>26.36877828054299</v>
      </c>
      <c r="E23">
        <v>0.17100000000000001</v>
      </c>
      <c r="F23">
        <v>0.1</v>
      </c>
      <c r="G23">
        <f>$K$2*F23*E23</f>
        <v>5.8122634251423298E-2</v>
      </c>
      <c r="H23">
        <f t="shared" si="0"/>
        <v>1754.0639251880109</v>
      </c>
    </row>
    <row r="24" spans="1:8" x14ac:dyDescent="0.3">
      <c r="A24">
        <v>8</v>
      </c>
      <c r="B24">
        <v>0.36200000000000004</v>
      </c>
      <c r="C24">
        <v>0.1</v>
      </c>
      <c r="D24" s="1">
        <f>$I$2*C24*B24</f>
        <v>11.363687782805432</v>
      </c>
      <c r="E24">
        <v>0.16</v>
      </c>
      <c r="F24">
        <v>0.05</v>
      </c>
      <c r="G24">
        <f>$K$2*F24*E24</f>
        <v>2.7191875673180488E-2</v>
      </c>
      <c r="H24">
        <f t="shared" si="0"/>
        <v>1904.1888109048873</v>
      </c>
    </row>
    <row r="25" spans="1:8" x14ac:dyDescent="0.3">
      <c r="A25">
        <v>7.5</v>
      </c>
      <c r="B25">
        <v>0.33300000000000007</v>
      </c>
      <c r="C25">
        <v>0.1</v>
      </c>
      <c r="D25" s="1">
        <f>$I$2*C25*B25</f>
        <v>10.4533371040724</v>
      </c>
      <c r="E25">
        <v>0.15200000000000002</v>
      </c>
      <c r="F25">
        <v>0.05</v>
      </c>
      <c r="G25">
        <f>$K$2*F25*E25</f>
        <v>2.5832281889521469E-2</v>
      </c>
      <c r="H25">
        <f t="shared" si="0"/>
        <v>1966.5181143248974</v>
      </c>
    </row>
    <row r="26" spans="1:8" x14ac:dyDescent="0.3">
      <c r="A26">
        <v>7</v>
      </c>
      <c r="B26">
        <v>0.30800000000000005</v>
      </c>
      <c r="C26">
        <v>0.1</v>
      </c>
      <c r="D26" s="1">
        <f>$I$2*C26*B26</f>
        <v>9.6685520361990971</v>
      </c>
      <c r="E26">
        <v>0.14000000000000001</v>
      </c>
      <c r="F26">
        <v>0.05</v>
      </c>
      <c r="G26">
        <f>$K$2*F26*E26</f>
        <v>2.379289121403293E-2</v>
      </c>
      <c r="H26">
        <f t="shared" si="0"/>
        <v>1958.2850839419582</v>
      </c>
    </row>
    <row r="27" spans="1:8" x14ac:dyDescent="0.3">
      <c r="A27">
        <v>6.5</v>
      </c>
      <c r="B27">
        <v>0.28400000000000003</v>
      </c>
      <c r="C27">
        <v>0.1</v>
      </c>
      <c r="D27" s="1">
        <f>$I$2*C27*B27</f>
        <v>8.9151583710407252</v>
      </c>
      <c r="E27">
        <v>0.13</v>
      </c>
      <c r="F27">
        <v>0.05</v>
      </c>
      <c r="G27">
        <f>$K$2*F27*E27</f>
        <v>2.2093398984459146E-2</v>
      </c>
      <c r="H27">
        <f t="shared" si="0"/>
        <v>1972.0758239697184</v>
      </c>
    </row>
    <row r="28" spans="1:8" x14ac:dyDescent="0.3">
      <c r="A28">
        <v>6</v>
      </c>
      <c r="B28">
        <v>0.25600000000000001</v>
      </c>
      <c r="C28">
        <v>0.1</v>
      </c>
      <c r="D28" s="1">
        <f>$I$2*C28*B28</f>
        <v>8.0361990950226243</v>
      </c>
      <c r="E28">
        <v>0.12200000000000001</v>
      </c>
      <c r="F28">
        <v>0.05</v>
      </c>
      <c r="G28">
        <f>$K$2*F28*E28</f>
        <v>2.0733805200800124E-2</v>
      </c>
      <c r="H28">
        <f t="shared" si="0"/>
        <v>2053.139517695397</v>
      </c>
    </row>
    <row r="29" spans="1:8" x14ac:dyDescent="0.3">
      <c r="A29">
        <v>5.5</v>
      </c>
      <c r="B29">
        <v>0.24000000000000002</v>
      </c>
      <c r="C29">
        <v>0.1</v>
      </c>
      <c r="D29" s="1">
        <f>$I$2*C29*B29</f>
        <v>7.5339366515837112</v>
      </c>
      <c r="E29">
        <v>0.11</v>
      </c>
      <c r="F29">
        <v>0.05</v>
      </c>
      <c r="G29">
        <f>$K$2*F29*E29</f>
        <v>1.8694414525311585E-2</v>
      </c>
      <c r="H29">
        <f t="shared" si="0"/>
        <v>1974.6041263081408</v>
      </c>
    </row>
    <row r="30" spans="1:8" x14ac:dyDescent="0.3">
      <c r="A30">
        <v>5</v>
      </c>
      <c r="B30">
        <v>0.21600000000000003</v>
      </c>
      <c r="C30">
        <v>0.1</v>
      </c>
      <c r="D30" s="1">
        <f>$I$2*C30*B30</f>
        <v>6.7805429864253401</v>
      </c>
      <c r="E30">
        <v>0.1</v>
      </c>
      <c r="F30">
        <v>0.05</v>
      </c>
      <c r="G30">
        <f>$K$2*F30*E30</f>
        <v>1.6994922295737805E-2</v>
      </c>
      <c r="H30">
        <f t="shared" si="0"/>
        <v>1994.5496225334757</v>
      </c>
    </row>
    <row r="31" spans="1:8" x14ac:dyDescent="0.3">
      <c r="A31">
        <v>4.5</v>
      </c>
      <c r="B31">
        <v>0.19600000000000001</v>
      </c>
      <c r="C31">
        <v>0.1</v>
      </c>
      <c r="D31" s="1">
        <f>$I$2*C31*B31</f>
        <v>6.1527149321266972</v>
      </c>
      <c r="E31">
        <v>9.1999999999999998E-2</v>
      </c>
      <c r="F31">
        <v>0.05</v>
      </c>
      <c r="G31">
        <f>$K$2*F31*E31</f>
        <v>1.5635328512078779E-2</v>
      </c>
      <c r="H31">
        <f t="shared" si="0"/>
        <v>2022.2290866829196</v>
      </c>
    </row>
    <row r="32" spans="1:8" x14ac:dyDescent="0.3">
      <c r="A32">
        <v>4</v>
      </c>
      <c r="B32">
        <v>0.18</v>
      </c>
      <c r="C32">
        <v>0.05</v>
      </c>
      <c r="D32" s="1">
        <f>$I$2*C32*B32</f>
        <v>2.8252262443438911</v>
      </c>
      <c r="E32">
        <v>0.08</v>
      </c>
      <c r="F32">
        <v>0.02</v>
      </c>
      <c r="G32">
        <f>$K$2*F32*E32</f>
        <v>5.4383751346360979E-3</v>
      </c>
      <c r="H32">
        <f t="shared" si="0"/>
        <v>1531.8141101057097</v>
      </c>
    </row>
    <row r="33" spans="1:8" x14ac:dyDescent="0.3">
      <c r="A33">
        <v>3.5</v>
      </c>
      <c r="B33">
        <v>0.16200000000000001</v>
      </c>
      <c r="C33">
        <v>0.05</v>
      </c>
      <c r="D33" s="1">
        <f>$I$2*C33*B33</f>
        <v>2.5427036199095023</v>
      </c>
      <c r="E33">
        <v>6.8000000000000005E-2</v>
      </c>
      <c r="F33">
        <v>0.02</v>
      </c>
      <c r="G33">
        <f>$K$2*F33*E33</f>
        <v>4.6226188644406833E-3</v>
      </c>
      <c r="H33">
        <f t="shared" si="0"/>
        <v>1446.713326210948</v>
      </c>
    </row>
    <row r="34" spans="1:8" x14ac:dyDescent="0.3">
      <c r="A34">
        <v>3</v>
      </c>
      <c r="B34">
        <v>0.14400000000000002</v>
      </c>
      <c r="C34">
        <v>0.05</v>
      </c>
      <c r="D34" s="1">
        <f>$I$2*C34*B34</f>
        <v>2.2601809954751135</v>
      </c>
      <c r="E34">
        <v>0.06</v>
      </c>
      <c r="F34">
        <v>0.02</v>
      </c>
      <c r="G34">
        <f>$K$2*F34*E34</f>
        <v>4.078781350977073E-3</v>
      </c>
      <c r="H34">
        <f t="shared" si="0"/>
        <v>1436.0757282241022</v>
      </c>
    </row>
    <row r="35" spans="1:8" x14ac:dyDescent="0.3">
      <c r="A35">
        <v>2.5</v>
      </c>
      <c r="B35">
        <v>0.126</v>
      </c>
      <c r="C35">
        <v>0.05</v>
      </c>
      <c r="D35" s="1">
        <f>$I$2*C35*B35</f>
        <v>1.9776583710407241</v>
      </c>
      <c r="E35">
        <v>5.5E-2</v>
      </c>
      <c r="F35">
        <v>0.02</v>
      </c>
      <c r="G35">
        <f>$K$2*F35*E35</f>
        <v>3.738882905062317E-3</v>
      </c>
      <c r="H35">
        <f t="shared" si="0"/>
        <v>1504.4602867109647</v>
      </c>
    </row>
    <row r="36" spans="1:8" x14ac:dyDescent="0.3">
      <c r="A36">
        <v>2</v>
      </c>
      <c r="B36">
        <v>0.11</v>
      </c>
      <c r="C36">
        <v>0.05</v>
      </c>
      <c r="D36" s="1">
        <f>$I$2*C36*B36</f>
        <v>1.7265271493212671</v>
      </c>
      <c r="E36">
        <v>0.05</v>
      </c>
      <c r="F36">
        <v>0.02</v>
      </c>
      <c r="G36">
        <f>$K$2*F36*E36</f>
        <v>3.398984459147561E-3</v>
      </c>
      <c r="H36">
        <f t="shared" si="0"/>
        <v>1566.6280671535665</v>
      </c>
    </row>
    <row r="37" spans="1:8" x14ac:dyDescent="0.3">
      <c r="A37">
        <v>1.5</v>
      </c>
      <c r="B37">
        <v>9.0999999999999998E-2</v>
      </c>
      <c r="C37">
        <v>0.02</v>
      </c>
      <c r="D37" s="1">
        <f>$I$2*C37*B37</f>
        <v>0.57132352941176467</v>
      </c>
      <c r="E37">
        <v>0.04</v>
      </c>
      <c r="F37">
        <v>0.01</v>
      </c>
      <c r="G37">
        <f>$K$2*F37*E37</f>
        <v>1.3595937836590245E-3</v>
      </c>
      <c r="H37">
        <f t="shared" si="0"/>
        <v>1893.726235020795</v>
      </c>
    </row>
    <row r="38" spans="1:8" x14ac:dyDescent="0.3">
      <c r="A38">
        <v>1</v>
      </c>
      <c r="B38">
        <v>7.0000000000000007E-2</v>
      </c>
      <c r="C38">
        <v>0.02</v>
      </c>
      <c r="D38" s="1">
        <f>$I$2*C38*B38</f>
        <v>0.43947963800904982</v>
      </c>
      <c r="E38">
        <v>1.8000000000000002E-2</v>
      </c>
      <c r="F38">
        <v>0.01</v>
      </c>
      <c r="G38">
        <f>$K$2*F38*E38</f>
        <v>6.1181720264656106E-4</v>
      </c>
      <c r="H38">
        <f t="shared" si="0"/>
        <v>1107.8298474871649</v>
      </c>
    </row>
    <row r="39" spans="1:8" x14ac:dyDescent="0.3">
      <c r="A39">
        <v>0.5</v>
      </c>
      <c r="B39">
        <v>5.5E-2</v>
      </c>
      <c r="C39">
        <v>0.02</v>
      </c>
      <c r="D39" s="1">
        <f>$I$2*C39*B39</f>
        <v>0.34530542986425339</v>
      </c>
      <c r="E39">
        <v>9.0000000000000011E-3</v>
      </c>
      <c r="F39">
        <v>0.01</v>
      </c>
      <c r="G39">
        <f>$K$2*F39*E39</f>
        <v>3.0590860132328053E-4</v>
      </c>
      <c r="H39">
        <f t="shared" si="0"/>
        <v>704.98263021910509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</dc:creator>
  <cp:lastModifiedBy>Ануфриев Андрей Сергеевич</cp:lastModifiedBy>
  <dcterms:created xsi:type="dcterms:W3CDTF">2026-03-27T06:23:23Z</dcterms:created>
  <dcterms:modified xsi:type="dcterms:W3CDTF">2026-04-19T20:58:53Z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2026-03-27T09:52:31Z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82b70a2d-30f9-4534-8fd6-9bb237da0a46</vt:lpwstr>
  </property>
  <property fmtid="{D5CDD505-2E9C-101B-9397-08002B2CF9AE}" pid="7" name="MSIP_Label_defa4170-0d19-0005-0004-bc88714345d2_ActionId">
    <vt:lpwstr>3373f41d-5ed1-447d-9f76-08180bca6ff8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